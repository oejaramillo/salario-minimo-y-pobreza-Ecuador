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inec (2014) empalmada ipc" sheetId="2" state="visible" r:id="rId4"/>
    <sheet name="tabla dinamica ipc" sheetId="3" state="visible" r:id="rId5"/>
    <sheet name="banco central (2004) pond ipc" sheetId="4" state="visible" r:id="rId6"/>
    <sheet name="banco central SBU" sheetId="5" state="visible" r:id="rId7"/>
    <sheet name="chain linking empalme" sheetId="6" state="visible" r:id="rId8"/>
    <sheet name="banco central tipo de cambio" sheetId="7" state="visible" r:id="rId9"/>
    <sheet name="Banco central umbrales pobreza" sheetId="8" state="visible" r:id="rId10"/>
  </sheets>
  <definedNames>
    <definedName function="false" hidden="true" localSheetId="6" name="_xlnm._FilterDatabase" vbProcedure="false">'banco central tipo de cambio'!$A$1:$N$123</definedName>
    <definedName function="false" hidden="true" localSheetId="1" name="_xlnm._FilterDatabase" vbProcedure="false">'inec (2014) empalmada ipc'!$A$1:$C$242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Mercado libre de cambios, precio de venta, promedio trimestral</t>
        </r>
      </text>
    </comment>
    <comment ref="Q1" authorId="0">
      <text>
        <r>
          <rPr>
            <sz val="10"/>
            <rFont val="Arial"/>
            <family val="2"/>
          </rPr>
          <t xml:space="preserve">Actualizar por cada ECV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Dólares mensuales por persona</t>
        </r>
      </text>
    </comment>
  </commentList>
</comments>
</file>

<file path=xl/sharedStrings.xml><?xml version="1.0" encoding="utf-8"?>
<sst xmlns="http://schemas.openxmlformats.org/spreadsheetml/2006/main" count="337" uniqueCount="79">
  <si>
    <t xml:space="preserve">Año</t>
  </si>
  <si>
    <t xml:space="preserve">trimestre</t>
  </si>
  <si>
    <t xml:space="preserve">Nacional</t>
  </si>
  <si>
    <t xml:space="preserve">Sierra</t>
  </si>
  <si>
    <t xml:space="preserve">Costa</t>
  </si>
  <si>
    <t xml:space="preserve">Guayaquil</t>
  </si>
  <si>
    <t xml:space="preserve">Esmeraldas</t>
  </si>
  <si>
    <t xml:space="preserve">Machala</t>
  </si>
  <si>
    <t xml:space="preserve">Manta</t>
  </si>
  <si>
    <t xml:space="preserve">Santo Domingo</t>
  </si>
  <si>
    <t xml:space="preserve">Quito</t>
  </si>
  <si>
    <t xml:space="preserve">Loja</t>
  </si>
  <si>
    <t xml:space="preserve">Cuenca</t>
  </si>
  <si>
    <t xml:space="preserve">Ambato</t>
  </si>
  <si>
    <t xml:space="preserve">salario básico unificado</t>
  </si>
  <si>
    <t xml:space="preserve">tipo de cambio</t>
  </si>
  <si>
    <t xml:space="preserve">umbral de pobreza</t>
  </si>
  <si>
    <t xml:space="preserve">fecha</t>
  </si>
  <si>
    <t xml:space="preserve">nacional</t>
  </si>
  <si>
    <t xml:space="preserve">sierra</t>
  </si>
  <si>
    <t xml:space="preserve">costa</t>
  </si>
  <si>
    <t xml:space="preserve">Sto. Domingo</t>
  </si>
  <si>
    <t xml:space="preserve">Data</t>
  </si>
  <si>
    <t xml:space="preserve">Average of nacional</t>
  </si>
  <si>
    <t xml:space="preserve">Average of sierra</t>
  </si>
  <si>
    <t xml:space="preserve">Average of costa</t>
  </si>
  <si>
    <t xml:space="preserve">Average of Guayaquil</t>
  </si>
  <si>
    <t xml:space="preserve">Average of Esmeraldas</t>
  </si>
  <si>
    <t xml:space="preserve">Average of Machala</t>
  </si>
  <si>
    <t xml:space="preserve">Average of Manta</t>
  </si>
  <si>
    <t xml:space="preserve">Average of Sto. Domingo</t>
  </si>
  <si>
    <t xml:space="preserve">Average of Quito</t>
  </si>
  <si>
    <t xml:space="preserve">Average of Loja</t>
  </si>
  <si>
    <t xml:space="preserve">Average of Cuenca</t>
  </si>
  <si>
    <t xml:space="preserve">Average of Ambato</t>
  </si>
  <si>
    <t xml:space="preserve">Factor solapamiento</t>
  </si>
  <si>
    <t xml:space="preserve">Serie ajustada por factor de solapamiento</t>
  </si>
  <si>
    <t xml:space="preserve">sucres</t>
  </si>
  <si>
    <t xml:space="preserve">dólares</t>
  </si>
  <si>
    <t xml:space="preserve">1992 ene</t>
  </si>
  <si>
    <t xml:space="preserve">1992 jun</t>
  </si>
  <si>
    <t xml:space="preserve">1993 ene</t>
  </si>
  <si>
    <t xml:space="preserve">1993 jul</t>
  </si>
  <si>
    <t xml:space="preserve">1994 ene</t>
  </si>
  <si>
    <t xml:space="preserve">1994 jul</t>
  </si>
  <si>
    <t xml:space="preserve">1995 ene</t>
  </si>
  <si>
    <t xml:space="preserve">1995 jul</t>
  </si>
  <si>
    <t xml:space="preserve">1997 ene</t>
  </si>
  <si>
    <t xml:space="preserve">1997 jul</t>
  </si>
  <si>
    <t xml:space="preserve">2000 (2)</t>
  </si>
  <si>
    <t xml:space="preserve">2000 (3) (4)</t>
  </si>
  <si>
    <t xml:space="preserve">2001 (5)</t>
  </si>
  <si>
    <t xml:space="preserve">Base 2004</t>
  </si>
  <si>
    <t xml:space="preserve">Base 2014</t>
  </si>
  <si>
    <t xml:space="preserve">factor</t>
  </si>
  <si>
    <t xml:space="preserve">nacional bc</t>
  </si>
  <si>
    <t xml:space="preserve">Guayaquil bc</t>
  </si>
  <si>
    <t xml:space="preserve">Quito bc</t>
  </si>
  <si>
    <t xml:space="preserve">Cuenca bc</t>
  </si>
  <si>
    <t xml:space="preserve">nacional factor</t>
  </si>
  <si>
    <t xml:space="preserve">Guayaquil factor</t>
  </si>
  <si>
    <t xml:space="preserve">Quito factor</t>
  </si>
  <si>
    <t xml:space="preserve">Cuenca factor</t>
  </si>
  <si>
    <t xml:space="preserve">Factor promedio de solapamiento</t>
  </si>
  <si>
    <t xml:space="preserve">Mercado oficial</t>
  </si>
  <si>
    <t xml:space="preserve">Mercado de intervención</t>
  </si>
  <si>
    <t xml:space="preserve">Mercado libre de cambios</t>
  </si>
  <si>
    <t xml:space="preserve">promedio</t>
  </si>
  <si>
    <t xml:space="preserve">Finde periodo</t>
  </si>
  <si>
    <t xml:space="preserve">años</t>
  </si>
  <si>
    <t xml:space="preserve">meses</t>
  </si>
  <si>
    <t xml:space="preserve">Compra </t>
  </si>
  <si>
    <t xml:space="preserve">venta</t>
  </si>
  <si>
    <t xml:space="preserve">         --</t>
  </si>
  <si>
    <t xml:space="preserve">Nacional IPC</t>
  </si>
  <si>
    <t xml:space="preserve">Encuesta condiciones de vida</t>
  </si>
  <si>
    <t xml:space="preserve">deflactor precios 2014</t>
  </si>
  <si>
    <t xml:space="preserve">umbral mensual precios 2014</t>
  </si>
  <si>
    <t xml:space="preserve">La quinta y última ronda de la encuesta de condiciones de vida fue en 2006, de ahí en adelante justamos con la metodología del banco central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</si>
</sst>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Value" xfId="23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1217160</xdr:colOff>
      <xdr:row>0</xdr:row>
      <xdr:rowOff>160560</xdr:rowOff>
    </xdr:from>
    <xdr:to>
      <xdr:col>14</xdr:col>
      <xdr:colOff>398160</xdr:colOff>
      <xdr:row>25</xdr:row>
      <xdr:rowOff>32760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7701120" y="160560"/>
          <a:ext cx="6990120" cy="425376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1" createdVersion="3">
  <cacheSource type="worksheet">
    <worksheetSource ref="A1:M242" sheet="inec (2014) empalmada ipc"/>
  </cacheSource>
  <cacheFields count="13">
    <cacheField name="fecha" numFmtId="0">
      <sharedItems containsSemiMixedTypes="0" containsNonDate="0" containsDate="1" containsString="0" minDate="2005-01-01T00:00:00" maxDate="2025-01-01T00:00:00" count="241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</sharedItems>
    </cacheField>
    <cacheField name="nacional" numFmtId="0">
      <sharedItems containsSemiMixedTypes="0" containsString="0" containsNumber="1" minValue="67.1219175948688" maxValue="113.986808243733" count="241">
        <n v="67.1219175948688"/>
        <n v="67.3046130616965"/>
        <n v="67.4818735473311"/>
        <n v="68.0087117690542"/>
        <n v="68.0469600328975"/>
        <n v="68.108353243615"/>
        <n v="68.1661192519189"/>
        <n v="68.2145671907777"/>
        <n v="68.4960801627488"/>
        <n v="68.7357768609902"/>
        <n v="68.8513631054846"/>
        <n v="69.0566648947345"/>
        <n v="69.3868350801482"/>
        <n v="69.8779604040462"/>
        <n v="70.1226923726597"/>
        <n v="70.1435464027759"/>
        <n v="70.2843151519633"/>
        <n v="70.2940986792306"/>
        <n v="70.3332891531239"/>
        <n v="70.3814500276531"/>
        <n v="70.696812923342"/>
        <n v="70.943381885484"/>
        <n v="71.0381731516453"/>
        <n v="71.0607820253481"/>
        <n v="71.2490749480785"/>
        <n v="71.2972162241018"/>
        <n v="71.3587840774461"/>
        <n v="71.3655511584021"/>
        <n v="71.3802843050852"/>
        <n v="71.6568879718613"/>
        <n v="71.9564407281749"/>
        <n v="72.0089315767888"/>
        <n v="72.5203019610163"/>
        <n v="72.6179985674464"/>
        <n v="72.9792559286484"/>
        <n v="73.3964319506629"/>
        <n v="74.234712163968"/>
        <n v="74.9351652229096"/>
        <n v="76.0439095005904"/>
        <n v="77.1984966198129"/>
        <n v="78.0081683348797"/>
        <n v="78.5985218245063"/>
        <n v="79.0592596252579"/>
        <n v="79.2251834145096"/>
        <n v="79.6446030148867"/>
        <n v="79.7475732965297"/>
        <n v="79.7727822512887"/>
        <n v="79.8777342342988"/>
        <n v="80.4428036176893"/>
        <n v="80.8177917305403"/>
        <n v="81.6996617588442"/>
        <n v="81.8606314808419"/>
        <n v="82.1050649552487"/>
        <n v="82.165439138971"/>
        <n v="82.2275968392106"/>
        <n v="82.2347699837864"/>
        <n v="82.3726474588285"/>
        <n v="82.5678876365563"/>
        <n v="82.8451198955328"/>
        <n v="83.3218573593667"/>
        <n v="84.0139903347642"/>
        <n v="84.300315394084"/>
        <n v="84.4376619411323"/>
        <n v="84.8744739332226"/>
        <n v="84.8808830793088"/>
        <n v="84.8886972846463"/>
        <n v="84.8974887546035"/>
        <n v="84.9879290882889"/>
        <n v="85.2063065606174"/>
        <n v="85.4230041754569"/>
        <n v="85.6542604908151"/>
        <n v="86.0948379969749"/>
        <n v="86.6795835361788"/>
        <n v="87.1606213395727"/>
        <n v="87.454201232613"/>
        <n v="88.1713959367154"/>
        <n v="88.476337081723"/>
        <n v="88.5115259099625"/>
        <n v="88.6671485410335"/>
        <n v="89.0980489953974"/>
        <n v="89.8026911941672"/>
        <n v="90.1189395929231"/>
        <n v="90.3923317149425"/>
        <n v="90.7520369037975"/>
        <n v="91.2667390855198"/>
        <n v="91.9763261289862"/>
        <n v="92.7712070688993"/>
        <n v="92.8049572793552"/>
        <n v="92.9336446706311"/>
        <n v="92.9515853950999"/>
        <n v="93.1764126242344"/>
        <n v="93.4453823885378"/>
        <n v="94.4937590764561"/>
        <n v="94.5308696897452"/>
        <n v="94.5750309307929"/>
        <n v="94.706817778578"/>
        <n v="95.0061925803642"/>
        <n v="95.1816635783743"/>
        <n v="95.4052026704532"/>
        <n v="95.4230089229954"/>
        <n v="95.5613721031084"/>
        <n v="95.570817462635"/>
        <n v="95.5989252098167"/>
        <n v="95.7700534311449"/>
        <n v="96.1135456896929"/>
        <n v="96.5059505025932"/>
        <n v="96.8863659830824"/>
        <n v="97.0835264778551"/>
        <n v="97.7841876295295"/>
        <n v="97.8916559567775"/>
        <n v="98.5732580355893"/>
        <n v="98.8238612066439"/>
        <n v="98.8645182550165"/>
        <n v="98.9266984650289"/>
        <n v="99.3257366236039"/>
        <n v="99.5337502894563"/>
        <n v="100.143617696456"/>
        <n v="100.346706871878"/>
        <n v="100.528566297396"/>
        <n v="100.643926187737"/>
        <n v="101.238093184276"/>
        <n v="101.858065813691"/>
        <n v="102.279947496732"/>
        <n v="103.136275634797"/>
        <n v="103.31885533217"/>
        <n v="103.656098306969"/>
        <n v="103.657455089685"/>
        <n v="103.73993026801"/>
        <n v="103.836155081974"/>
        <n v="103.93019277185"/>
        <n v="103.947684766464"/>
        <n v="104.045816831999"/>
        <n v="104.233025480214"/>
        <n v="104.262857518503"/>
        <n v="104.271965054021"/>
        <n v="104.354097393414"/>
        <n v="104.366441047927"/>
        <n v="104.442113491474"/>
        <n v="104.46970372361"/>
        <n v="104.510512262804"/>
        <n v="104.625301136874"/>
        <n v="104.633513657926"/>
        <n v="104.653707987237"/>
        <n v="104.801098085515"/>
        <n v="104.805413816399"/>
        <n v="104.815862278346"/>
        <n v="104.893612561898"/>
        <n v="104.97346998607"/>
        <n v="104.974551162184"/>
        <n v="104.990644223591"/>
        <n v="105.00396255276"/>
        <n v="105.007932603396"/>
        <n v="105.044113509139"/>
        <n v="105.078144192329"/>
        <n v="105.083525023619"/>
        <n v="105.093609502236"/>
        <n v="105.1034891541"/>
        <n v="105.12332203234"/>
        <n v="105.179140431073"/>
        <n v="105.196903719673"/>
        <n v="105.204050176427"/>
        <n v="105.210912990011"/>
        <n v="105.214666947918"/>
        <n v="105.223281122662"/>
        <n v="105.25558454379"/>
        <n v="105.2834519759"/>
        <n v="105.283497330793"/>
        <n v="105.285855505328"/>
        <n v="105.290675551604"/>
        <n v="105.294970827379"/>
        <n v="105.303290776828"/>
        <n v="105.307760531158"/>
        <n v="105.365176487928"/>
        <n v="105.384761150658"/>
        <n v="105.404367166834"/>
        <n v="105.41688937022"/>
        <n v="105.420031464935"/>
        <n v="105.432295912604"/>
        <n v="105.432642629271"/>
        <n v="105.445571730997"/>
        <n v="105.445727281168"/>
        <n v="105.446249456763"/>
        <n v="105.453517612939"/>
        <n v="105.483993620977"/>
        <n v="105.488432161687"/>
        <n v="105.495324910595"/>
        <n v="105.498562598122"/>
        <n v="105.512043743952"/>
        <n v="105.530911948375"/>
        <n v="105.542558039632"/>
        <n v="105.552737269789"/>
        <n v="105.567350745434"/>
        <n v="105.583909272285"/>
        <n v="105.620553724443"/>
        <n v="105.657326701866"/>
        <n v="105.773500350709"/>
        <n v="105.803738133349"/>
        <n v="105.968981459124"/>
        <n v="106.116769150315"/>
        <n v="106.165206789217"/>
        <n v="106.184139015753"/>
        <n v="106.255853364723"/>
        <n v="106.279288371097"/>
        <n v="106.556317848736"/>
        <n v="107.022306333896"/>
        <n v="107.271128645889"/>
        <n v="107.39173998062"/>
        <n v="108.029268737987"/>
        <n v="108.631435771839"/>
        <n v="109.335611399018"/>
        <n v="109.510806797953"/>
        <n v="109.54212537178"/>
        <n v="109.93309397206"/>
        <n v="110.05370922841"/>
        <n v="110.06143636367"/>
        <n v="110.227316943081"/>
        <n v="110.360236749334"/>
        <n v="110.380407616705"/>
        <n v="110.452138585459"/>
        <n v="110.668865019608"/>
        <n v="110.767591152824"/>
        <n v="111.181541477615"/>
        <n v="111.715101416755"/>
        <n v="111.741053926941"/>
        <n v="111.780858152468"/>
        <n v="111.855131486751"/>
        <n v="111.958952108953"/>
        <n v="112.142179775368"/>
        <n v="112.188911619948"/>
        <n v="112.281439749787"/>
        <n v="112.306263779542"/>
        <n v="112.343081099914"/>
        <n v="112.385606673683"/>
        <n v="112.494039825892"/>
        <n v="113.424094792498"/>
        <n v="113.540676380544"/>
        <n v="113.575358026089"/>
        <n v="113.710894638438"/>
        <n v="113.715195605386"/>
        <n v="113.78625520598"/>
        <n v="113.986808243733"/>
      </sharedItems>
    </cacheField>
    <cacheField name="sierra" numFmtId="0">
      <sharedItems containsSemiMixedTypes="0" containsString="0" containsNumber="1" minValue="66.615007631241" maxValue="113.163699223154" count="241">
        <n v="66.615007631241"/>
        <n v="66.8328763380627"/>
        <n v="66.9054992403366"/>
        <n v="67.2223991775318"/>
        <n v="67.3544408180298"/>
        <n v="67.4402678843535"/>
        <n v="67.473278294478"/>
        <n v="67.5789116068764"/>
        <n v="68.2853343835407"/>
        <n v="68.529611418462"/>
        <n v="68.5890301566861"/>
        <n v="68.7672863713584"/>
        <n v="68.9587467500805"/>
        <n v="69.5067195581472"/>
        <n v="69.5809663653137"/>
        <n v="69.6240688841826"/>
        <n v="69.6421094015052"/>
        <n v="69.6805666000481"/>
        <n v="69.8022832303125"/>
        <n v="69.8893730516452"/>
        <n v="70.5671565782543"/>
        <n v="70.7652729343717"/>
        <n v="70.8233620378819"/>
        <n v="70.8316302413244"/>
        <n v="70.8654639975801"/>
        <n v="70.8718858606244"/>
        <n v="70.8981907242021"/>
        <n v="70.9362887994102"/>
        <n v="70.9653894392026"/>
        <n v="71.1752525880945"/>
        <n v="71.5858254664378"/>
        <n v="71.8647584594337"/>
        <n v="72.499988105551"/>
        <n v="72.5461397955476"/>
        <n v="72.8464414207757"/>
        <n v="73.2863027866507"/>
        <n v="74.0647862122463"/>
        <n v="74.7065832950916"/>
        <n v="75.7325827435927"/>
        <n v="76.5403244096773"/>
        <n v="77.59719863221"/>
        <n v="78.1709362953558"/>
        <n v="78.7571897678312"/>
        <n v="78.7604872172912"/>
        <n v="79.1828187314086"/>
        <n v="79.3894498180522"/>
        <n v="79.4035759920776"/>
        <n v="79.4534094327409"/>
        <n v="79.9504180207947"/>
        <n v="80.3303087320951"/>
        <n v="81.1889714876953"/>
        <n v="81.4018110490869"/>
        <n v="81.5518406650959"/>
        <n v="81.598189183875"/>
        <n v="81.6345068008614"/>
        <n v="81.6450400814045"/>
        <n v="82.297087194222"/>
        <n v="82.4235985722437"/>
        <n v="82.4944247793863"/>
        <n v="83.0464766345013"/>
        <n v="83.6325847605499"/>
        <n v="83.8769832970066"/>
        <n v="84.0103435883081"/>
        <n v="84.2668741936357"/>
        <n v="84.3527897976162"/>
        <n v="84.4326595834064"/>
        <n v="84.5126824171965"/>
        <n v="84.523854890221"/>
        <n v="84.9227015574305"/>
        <n v="85.0973969580843"/>
        <n v="85.2289280735031"/>
        <n v="85.6480332622316"/>
        <n v="86.2061655816524"/>
        <n v="86.7192823846243"/>
        <n v="87.0295112980218"/>
        <n v="87.3546510068856"/>
        <n v="87.7610547367876"/>
        <n v="87.8240834201666"/>
        <n v="88.0663111121486"/>
        <n v="88.5982970260873"/>
        <n v="89.5234150429785"/>
        <n v="89.872046483157"/>
        <n v="89.9570194959435"/>
        <n v="90.4270876321072"/>
        <n v="91.2480215453582"/>
        <n v="91.6931582839928"/>
        <n v="91.9983880878816"/>
        <n v="92.2089453449506"/>
        <n v="92.3596619642071"/>
        <n v="92.4046558903293"/>
        <n v="92.6601996186937"/>
        <n v="92.9410189900775"/>
        <n v="94.0488850773956"/>
        <n v="94.108676158726"/>
        <n v="94.3095156720775"/>
        <n v="94.3507818280834"/>
        <n v="94.4744439501738"/>
        <n v="94.5969448339054"/>
        <n v="94.9785949992138"/>
        <n v="94.9860476123274"/>
        <n v="95.0313321059826"/>
        <n v="95.113712394915"/>
        <n v="95.115820060746"/>
        <n v="95.1910424626239"/>
        <n v="96.0156414231683"/>
        <n v="96.4752460727255"/>
        <n v="96.7162404395024"/>
        <n v="96.7660507763446"/>
        <n v="97.3822349322259"/>
        <n v="97.5554834921628"/>
        <n v="98.0192476635861"/>
        <n v="98.195356541487"/>
        <n v="98.3811143141579"/>
        <n v="98.5086841089008"/>
        <n v="98.9238710391325"/>
        <n v="99.2170169033019"/>
        <n v="99.9459984760611"/>
        <n v="100.272944309737"/>
        <n v="100.480439944357"/>
        <n v="100.52129429617"/>
        <n v="101.087558875458"/>
        <n v="101.687071152307"/>
        <n v="101.847681937052"/>
        <n v="102.669227183356"/>
        <n v="102.874963626918"/>
        <n v="103.134344545464"/>
        <n v="103.274522162636"/>
        <n v="103.321057473226"/>
        <n v="103.590265839329"/>
        <n v="103.621444450383"/>
        <n v="103.827393705862"/>
        <n v="103.945307262152"/>
        <n v="103.966326705967"/>
        <n v="104.031740231965"/>
        <n v="104.047113579439"/>
        <n v="104.157515291714"/>
        <n v="104.163854892995"/>
        <n v="104.26329967492"/>
        <n v="104.26851293001"/>
        <n v="104.342873516822"/>
        <n v="104.39064900136"/>
        <n v="104.44106228285"/>
        <n v="104.516351476761"/>
        <n v="104.540568466478"/>
        <n v="104.583828476482"/>
        <n v="104.588943797798"/>
        <n v="104.606550232606"/>
        <n v="104.652694450239"/>
        <n v="104.686255704192"/>
        <n v="104.759099118005"/>
        <n v="104.781975959224"/>
        <n v="104.786179461318"/>
        <n v="104.788574068803"/>
        <n v="104.790425739356"/>
        <n v="104.799762599713"/>
        <n v="104.843885009223"/>
        <n v="104.847330427588"/>
        <n v="104.861036007038"/>
        <n v="104.863593754733"/>
        <n v="104.883923365187"/>
        <n v="104.885412377842"/>
        <n v="104.916282519766"/>
        <n v="104.932451249477"/>
        <n v="104.937769524175"/>
        <n v="104.945188997542"/>
        <n v="104.946638748871"/>
        <n v="104.972204523393"/>
        <n v="104.979097971808"/>
        <n v="105.015046083509"/>
        <n v="105.085530945504"/>
        <n v="105.09044118602"/>
        <n v="105.110038624308"/>
        <n v="105.117437648404"/>
        <n v="105.128389452719"/>
        <n v="105.141268272027"/>
        <n v="105.142570348658"/>
        <n v="105.188766383479"/>
        <n v="105.191063812075"/>
        <n v="105.197307698732"/>
        <n v="105.221010671231"/>
        <n v="105.240003437274"/>
        <n v="105.241246961102"/>
        <n v="105.248329645472"/>
        <n v="105.250981137225"/>
        <n v="105.252540248157"/>
        <n v="105.283862496097"/>
        <n v="105.285075504933"/>
        <n v="105.330835698419"/>
        <n v="105.338673138884"/>
        <n v="105.349430975584"/>
        <n v="105.353213194532"/>
        <n v="105.427600496326"/>
        <n v="105.437256660158"/>
        <n v="105.448471139752"/>
        <n v="105.451024971147"/>
        <n v="105.458546853815"/>
        <n v="105.523788394591"/>
        <n v="105.547013312768"/>
        <n v="105.667861851043"/>
        <n v="105.737962833009"/>
        <n v="105.74263384608"/>
        <n v="105.942601056418"/>
        <n v="105.95299848531"/>
        <n v="106.114073210301"/>
        <n v="106.643255903365"/>
        <n v="106.97672582478"/>
        <n v="107.065036671335"/>
        <n v="107.503642813279"/>
        <n v="108.066215959252"/>
        <n v="108.555942588393"/>
        <n v="108.989118572653"/>
        <n v="109.11837577051"/>
        <n v="109.720730518493"/>
        <n v="109.917184591433"/>
        <n v="109.94687410981"/>
        <n v="110.036557527453"/>
        <n v="110.063293456396"/>
        <n v="110.128919871931"/>
        <n v="110.201067333308"/>
        <n v="110.238911389462"/>
        <n v="110.290182684764"/>
        <n v="110.54361500693"/>
        <n v="110.869794361252"/>
        <n v="110.907740844136"/>
        <n v="110.998739753023"/>
        <n v="111.016013810986"/>
        <n v="111.11835396651"/>
        <n v="111.126930390605"/>
        <n v="111.260386201641"/>
        <n v="111.36789825307"/>
        <n v="111.388817051998"/>
        <n v="111.622960683354"/>
        <n v="111.912304641434"/>
        <n v="112.420941328838"/>
        <n v="112.492029795401"/>
        <n v="112.492824769682"/>
        <n v="112.531172706655"/>
        <n v="112.708312752043"/>
        <n v="112.879179150107"/>
        <n v="113.014744247784"/>
        <n v="113.163699223154"/>
      </sharedItems>
    </cacheField>
    <cacheField name="costa" numFmtId="0">
      <sharedItems containsSemiMixedTypes="0" containsString="0" containsNumber="1" minValue="67.7051086191092" maxValue="114.813179726668" count="241">
        <n v="67.7051086191092"/>
        <n v="67.8470338817366"/>
        <n v="68.1444010986702"/>
        <n v="68.664793728304"/>
        <n v="68.7188604950192"/>
        <n v="68.8405107201284"/>
        <n v="68.9486442535588"/>
        <n v="68.9554025993982"/>
        <n v="69.002711020274"/>
        <n v="69.1108445537044"/>
        <n v="69.137877937062"/>
        <n v="69.374420041441"/>
        <n v="69.8677792877172"/>
        <n v="70.2935550755994"/>
        <n v="70.6923393966149"/>
        <n v="70.7165389143041"/>
        <n v="70.8265706173937"/>
        <n v="70.8376691103827"/>
        <n v="70.8555727356173"/>
        <n v="71.0978712882065"/>
        <n v="71.1307929403841"/>
        <n v="71.1920342550228"/>
        <n v="71.2191162263791"/>
        <n v="71.3188313646783"/>
        <n v="71.5621917595725"/>
        <n v="71.7023633192793"/>
        <n v="71.8975077179275"/>
        <n v="71.914025662193"/>
        <n v="72.0091111637347"/>
        <n v="72.1555291613422"/>
        <n v="72.2057536148414"/>
        <n v="72.3729017725606"/>
        <n v="72.5191207298747"/>
        <n v="72.6782078401409"/>
        <n v="73.1119780583396"/>
        <n v="73.5019745095794"/>
        <n v="74.4112194905907"/>
        <n v="75.181326094421"/>
        <n v="76.3882870236735"/>
        <n v="77.9557964374685"/>
        <n v="78.4706000376692"/>
        <n v="79.0805474884487"/>
        <n v="79.3915502999646"/>
        <n v="79.7512134863141"/>
        <n v="80.0702016363262"/>
        <n v="80.1670162014275"/>
        <n v="80.2016615792136"/>
        <n v="80.4148115213442"/>
        <n v="81.0014041329415"/>
        <n v="81.3704186695505"/>
        <n v="82.2796354528911"/>
        <n v="82.3787369122344"/>
        <n v="82.4338526861557"/>
        <n v="82.7109267954168"/>
        <n v="82.7355833808867"/>
        <n v="82.8126504401699"/>
        <n v="82.905579319776"/>
        <n v="82.9087457684011"/>
        <n v="83.2340306022971"/>
        <n v="83.6208510068105"/>
        <n v="84.4390886668"/>
        <n v="84.7752762089071"/>
        <n v="84.9173249871374"/>
        <n v="85.3130164417143"/>
        <n v="85.3853030607615"/>
        <n v="85.4976052114626"/>
        <n v="85.5144411329937"/>
        <n v="85.5245143933195"/>
        <n v="85.5688205908736"/>
        <n v="85.7811158058911"/>
        <n v="86.1311310299418"/>
        <n v="86.5971422836501"/>
        <n v="87.2133973751263"/>
        <n v="87.6560390805115"/>
        <n v="87.929675998914"/>
        <n v="89.1138211341619"/>
        <n v="89.2977452570581"/>
        <n v="89.2997457507767"/>
        <n v="89.3521089511571"/>
        <n v="89.6623976964037"/>
        <n v="90.1040580353251"/>
        <n v="90.2803456285576"/>
        <n v="90.9806962420606"/>
        <n v="91.1074988308963"/>
        <n v="91.2570926069847"/>
        <n v="92.2815696279299"/>
        <n v="93.249495612205"/>
        <n v="93.5851093596126"/>
        <n v="93.6596765280113"/>
        <n v="93.7589497056495"/>
        <n v="93.8040282757904"/>
        <n v="94.0137044443052"/>
        <n v="94.8091527475333"/>
        <n v="94.9195707271841"/>
        <n v="95.0721435216178"/>
        <n v="95.1471161217372"/>
        <n v="95.6066024629458"/>
        <n v="95.7166517201021"/>
        <n v="95.8451351070407"/>
        <n v="95.9191984341407"/>
        <n v="95.9899267403645"/>
        <n v="96.1436720881143"/>
        <n v="96.1965671038237"/>
        <n v="96.2135158168416"/>
        <n v="96.5087542805275"/>
        <n v="96.6168397508528"/>
        <n v="97.0551810155125"/>
        <n v="97.4278657518821"/>
        <n v="98.2289505983029"/>
        <n v="98.2579927473849"/>
        <n v="99.1989478461596"/>
        <n v="99.3902017027247"/>
        <n v="99.4059662911248"/>
        <n v="99.5382361519203"/>
        <n v="99.7698560997349"/>
        <n v="99.8763471644531"/>
        <n v="100.344055877729"/>
        <n v="100.399477266665"/>
        <n v="100.550723036002"/>
        <n v="100.754828809317"/>
        <n v="101.3742294629"/>
        <n v="102.012705490507"/>
        <n v="102.670868510914"/>
        <n v="103.558652690338"/>
        <n v="103.720290495621"/>
        <n v="104.001178154276"/>
        <n v="104.056470447753"/>
        <n v="104.05852596015"/>
        <n v="104.117704031869"/>
        <n v="104.118739483972"/>
        <n v="104.130532113513"/>
        <n v="104.209410498667"/>
        <n v="104.455002716363"/>
        <n v="104.457966375949"/>
        <n v="104.489213291746"/>
        <n v="104.493224552484"/>
        <n v="104.531877169864"/>
        <n v="104.618911062286"/>
        <n v="104.65636601543"/>
        <n v="104.693757720551"/>
        <n v="104.739469725114"/>
        <n v="104.762403567215"/>
        <n v="104.818968341267"/>
        <n v="104.846014944289"/>
        <n v="104.880715636576"/>
        <n v="104.963423728518"/>
        <n v="105.142846889327"/>
        <n v="105.173766985807"/>
        <n v="105.198230508419"/>
        <n v="105.19874995302"/>
        <n v="105.208929977449"/>
        <n v="105.21339026313"/>
        <n v="105.215339567687"/>
        <n v="105.281178606216"/>
        <n v="105.289069883587"/>
        <n v="105.298842338997"/>
        <n v="105.301625124295"/>
        <n v="105.328971233971"/>
        <n v="105.353923541899"/>
        <n v="105.367025074907"/>
        <n v="105.378165426628"/>
        <n v="105.392002368909"/>
        <n v="105.415435985448"/>
        <n v="105.437616118633"/>
        <n v="105.451221500144"/>
        <n v="105.452708419648"/>
        <n v="105.454746008799"/>
        <n v="105.458002022829"/>
        <n v="105.468223267855"/>
        <n v="105.469975452815"/>
        <n v="105.504631995691"/>
        <n v="105.513041665"/>
        <n v="105.517624297742"/>
        <n v="105.524051845825"/>
        <n v="105.59211031938"/>
        <n v="105.60270989796"/>
        <n v="105.609986276455"/>
        <n v="105.612396023857"/>
        <n v="105.615589451331"/>
        <n v="105.621431121342"/>
        <n v="105.627264649398"/>
        <n v="105.627645887827"/>
        <n v="105.69161449688"/>
        <n v="105.708063821041"/>
        <n v="105.75098350373"/>
        <n v="105.75171168457"/>
        <n v="105.793809341834"/>
        <n v="105.8674290614"/>
        <n v="105.869034932406"/>
        <n v="105.875032511803"/>
        <n v="105.894921831105"/>
        <n v="105.897532623476"/>
        <n v="105.907647274542"/>
        <n v="105.961505481339"/>
        <n v="105.975257098242"/>
        <n v="105.99283867733"/>
        <n v="106.115913188846"/>
        <n v="106.145577434775"/>
        <n v="106.384072790297"/>
        <n v="106.393171839572"/>
        <n v="106.768838194378"/>
        <n v="106.832263864727"/>
        <n v="106.908550994791"/>
        <n v="107.2921760924"/>
        <n v="107.365102042254"/>
        <n v="107.537372964523"/>
        <n v="107.687195369426"/>
        <n v="108.504620555789"/>
        <n v="109.142594473762"/>
        <n v="109.925344946364"/>
        <n v="109.982597542218"/>
        <n v="110.040707873513"/>
        <n v="110.125145674503"/>
        <n v="110.165041176645"/>
        <n v="110.177175806657"/>
        <n v="110.375652211363"/>
        <n v="110.569429053201"/>
        <n v="110.679195833776"/>
        <n v="110.691369761634"/>
        <n v="111.011327839223"/>
        <n v="111.245704721307"/>
        <n v="111.758452724207"/>
        <n v="112.137546633707"/>
        <n v="112.347323970065"/>
        <n v="112.350068233009"/>
        <n v="112.488169921992"/>
        <n v="112.494663804402"/>
        <n v="112.711394136023"/>
        <n v="112.746224889373"/>
        <n v="113.028627137619"/>
        <n v="113.206073445835"/>
        <n v="113.281803584092"/>
        <n v="113.305975181"/>
        <n v="113.333280831728"/>
        <n v="114.071415021745"/>
        <n v="114.34865147289"/>
        <n v="114.453624893743"/>
        <n v="114.606572910599"/>
        <n v="114.619359186885"/>
        <n v="114.731190038445"/>
        <n v="114.813179726668"/>
      </sharedItems>
    </cacheField>
    <cacheField name="Guayaquil" numFmtId="0">
      <sharedItems containsSemiMixedTypes="0" containsString="0" containsNumber="1" minValue="70.4694419479209" maxValue="115.673554164913" count="241">
        <n v="70.4694419479209"/>
        <n v="70.5990251684204"/>
        <n v="70.7263854857552"/>
        <n v="71.1219446873"/>
        <n v="71.2139665990398"/>
        <n v="71.3488032701603"/>
        <n v="71.3657528302335"/>
        <n v="71.4016051415796"/>
        <n v="71.5581715740855"/>
        <n v="71.5819919033721"/>
        <n v="71.712369607458"/>
        <n v="71.7618442317801"/>
        <n v="71.9956845956884"/>
        <n v="72.282349800319"/>
        <n v="72.8308752365175"/>
        <n v="72.8410790951509"/>
        <n v="72.9116451397222"/>
        <n v="72.9728726938114"/>
        <n v="72.9857974922709"/>
        <n v="73.180907588702"/>
        <n v="73.2257112389508"/>
        <n v="73.2752065603961"/>
        <n v="73.3662653305126"/>
        <n v="73.5356923459475"/>
        <n v="73.6560197580695"/>
        <n v="73.8381859731426"/>
        <n v="73.8405138140386"/>
        <n v="73.8813645322583"/>
        <n v="73.9064762435566"/>
        <n v="73.9769437799459"/>
        <n v="74.0614003088586"/>
        <n v="74.1478928444825"/>
        <n v="74.4054755371171"/>
        <n v="74.57330173947"/>
        <n v="74.7935330977734"/>
        <n v="75.2340268687211"/>
        <n v="76.0953360963202"/>
        <n v="76.842825966822"/>
        <n v="77.8976838162936"/>
        <n v="78.9314608503952"/>
        <n v="79.8219104420053"/>
        <n v="80.6718040542685"/>
        <n v="80.7411721387626"/>
        <n v="80.9670039373232"/>
        <n v="81.0839210813975"/>
        <n v="81.377506237917"/>
        <n v="81.3837913421847"/>
        <n v="81.4138275656104"/>
        <n v="81.7256323817257"/>
        <n v="82.2331168833075"/>
        <n v="82.708102952384"/>
        <n v="82.8494863555803"/>
        <n v="83.248167502266"/>
        <n v="83.3624517935595"/>
        <n v="83.4566477929002"/>
        <n v="83.480452024129"/>
        <n v="83.493600847465"/>
        <n v="83.5827681319248"/>
        <n v="83.6399587749742"/>
        <n v="83.7314389500949"/>
        <n v="84.5318798908295"/>
        <n v="84.8830348900364"/>
        <n v="84.9964010569556"/>
        <n v="85.4772282818992"/>
        <n v="85.6013935635376"/>
        <n v="85.6570527772752"/>
        <n v="85.7312842089448"/>
        <n v="85.7397881522711"/>
        <n v="85.7957059233816"/>
        <n v="86.2710723293032"/>
        <n v="86.6498220957643"/>
        <n v="86.9886239960823"/>
        <n v="87.7439275858137"/>
        <n v="88.2669129275334"/>
        <n v="88.3278347011793"/>
        <n v="89.5842040392859"/>
        <n v="89.6085199770841"/>
        <n v="89.9541593905625"/>
        <n v="90.1330565896762"/>
        <n v="90.1413232564341"/>
        <n v="90.5322845127907"/>
        <n v="90.6804676425508"/>
        <n v="91.0634623072721"/>
        <n v="91.0774305945378"/>
        <n v="91.1473965318694"/>
        <n v="91.9177264986721"/>
        <n v="93.0106902471487"/>
        <n v="93.4550876078356"/>
        <n v="93.5078356597884"/>
        <n v="93.7112627109144"/>
        <n v="94.0678007185286"/>
        <n v="94.0752813082295"/>
        <n v="94.5746257840979"/>
        <n v="94.6306804911021"/>
        <n v="94.6508596923659"/>
        <n v="94.7423055429881"/>
        <n v="95.1857587790717"/>
        <n v="95.4168904006321"/>
        <n v="95.5053502770955"/>
        <n v="95.5274207793639"/>
        <n v="95.7051944086745"/>
        <n v="95.7136243210213"/>
        <n v="95.7858345051625"/>
        <n v="95.8849779265046"/>
        <n v="96.2926554076667"/>
        <n v="96.3549801081445"/>
        <n v="96.9285448149416"/>
        <n v="97.4173072984887"/>
        <n v="97.6443814312304"/>
        <n v="97.9925911511369"/>
        <n v="98.8324170451541"/>
        <n v="98.8667460660727"/>
        <n v="99.2741786423735"/>
        <n v="99.3736604494469"/>
        <n v="99.8795342192458"/>
        <n v="99.9106487660953"/>
        <n v="100.548433848081"/>
        <n v="100.680823466163"/>
        <n v="100.727608389793"/>
        <n v="100.732427502587"/>
        <n v="101.256502614737"/>
        <n v="101.683606272993"/>
        <n v="102.361284815549"/>
        <n v="103.417081469912"/>
        <n v="103.617930653597"/>
        <n v="103.879659280152"/>
        <n v="103.94690750818"/>
        <n v="104.029747163465"/>
        <n v="104.049016118208"/>
        <n v="104.051593492618"/>
        <n v="104.122110104977"/>
        <n v="104.199753998855"/>
        <n v="104.209732478276"/>
        <n v="104.327276529556"/>
        <n v="104.747528653784"/>
        <n v="104.755870497599"/>
        <n v="104.763062054094"/>
        <n v="104.831643807801"/>
        <n v="104.839050157761"/>
        <n v="104.86204173081"/>
        <n v="104.870138699617"/>
        <n v="104.886588904548"/>
        <n v="105.019215990936"/>
        <n v="105.020053164563"/>
        <n v="105.026010321195"/>
        <n v="105.084955003092"/>
        <n v="105.125148012006"/>
        <n v="105.129296784464"/>
        <n v="105.1797887159"/>
        <n v="105.190822312336"/>
        <n v="105.215676119865"/>
        <n v="105.22246097851"/>
        <n v="105.273137969895"/>
        <n v="105.29961083491"/>
        <n v="105.314191270933"/>
        <n v="105.330655769311"/>
        <n v="105.343366135176"/>
        <n v="105.359713943623"/>
        <n v="105.370279179469"/>
        <n v="105.403689869987"/>
        <n v="105.477176022187"/>
        <n v="105.483616176309"/>
        <n v="105.490855499004"/>
        <n v="105.501645748638"/>
        <n v="105.503004237868"/>
        <n v="105.529973811657"/>
        <n v="105.559066985189"/>
        <n v="105.591483031272"/>
        <n v="105.599239636486"/>
        <n v="105.601322666995"/>
        <n v="105.606024441105"/>
        <n v="105.610110678519"/>
        <n v="105.646078944084"/>
        <n v="105.6956614688"/>
        <n v="105.713060706431"/>
        <n v="105.766766801526"/>
        <n v="105.769339728964"/>
        <n v="105.772373029076"/>
        <n v="105.787662736137"/>
        <n v="105.787717718723"/>
        <n v="105.826475290593"/>
        <n v="105.840553230368"/>
        <n v="105.848628508128"/>
        <n v="105.853078773102"/>
        <n v="105.871822408789"/>
        <n v="105.899403529949"/>
        <n v="105.903105158019"/>
        <n v="105.98662556686"/>
        <n v="106.025196015389"/>
        <n v="106.039566776623"/>
        <n v="106.048590890639"/>
        <n v="106.048905327467"/>
        <n v="106.238759474231"/>
        <n v="106.261185113306"/>
        <n v="106.338270375345"/>
        <n v="106.355966218201"/>
        <n v="106.391081414362"/>
        <n v="106.63455299186"/>
        <n v="106.644565843935"/>
        <n v="106.699767432985"/>
        <n v="107.077779636791"/>
        <n v="107.160519949203"/>
        <n v="107.199616615177"/>
        <n v="107.474605039763"/>
        <n v="107.880386979695"/>
        <n v="108.010720895633"/>
        <n v="108.07219022453"/>
        <n v="109.033710225159"/>
        <n v="109.539457272206"/>
        <n v="110.414618642521"/>
        <n v="110.45790281896"/>
        <n v="110.618705587091"/>
        <n v="110.647979185537"/>
        <n v="110.720637462948"/>
        <n v="110.776643435047"/>
        <n v="110.885475519173"/>
        <n v="111.071411391001"/>
        <n v="111.28512624962"/>
        <n v="111.285935300304"/>
        <n v="111.584265387757"/>
        <n v="111.787190435178"/>
        <n v="112.270457282492"/>
        <n v="112.789691605983"/>
        <n v="113.07832185693"/>
        <n v="113.168184410158"/>
        <n v="113.240081616359"/>
        <n v="113.361766890943"/>
        <n v="113.401577751597"/>
        <n v="113.520979894002"/>
        <n v="113.89746773123"/>
        <n v="113.913476778126"/>
        <n v="114.011560906743"/>
        <n v="114.031231834299"/>
        <n v="114.126840522307"/>
        <n v="114.864543839022"/>
        <n v="115.253858752496"/>
        <n v="115.311887184189"/>
        <n v="115.485231487767"/>
        <n v="115.510775667621"/>
        <n v="115.66554653796"/>
        <n v="115.673554164913"/>
      </sharedItems>
    </cacheField>
    <cacheField name="Esmeraldas" numFmtId="0">
      <sharedItems containsSemiMixedTypes="0" containsString="0" containsNumber="1" minValue="65.6038791415167" maxValue="113.852835645735" count="241">
        <n v="65.6038791415167"/>
        <n v="65.6141252120099"/>
        <n v="66.254928375079"/>
        <n v="66.6796550425722"/>
        <n v="66.7528056683168"/>
        <n v="66.9320239716436"/>
        <n v="67.0245143567984"/>
        <n v="67.0850660724111"/>
        <n v="67.2256023294576"/>
        <n v="67.3845189032261"/>
        <n v="67.9081525095071"/>
        <n v="68.2960055858747"/>
        <n v="68.7930694265605"/>
        <n v="69.2433493150495"/>
        <n v="69.3934950944037"/>
        <n v="69.5028064194645"/>
        <n v="69.5161442563742"/>
        <n v="69.5354294211298"/>
        <n v="69.7249773091203"/>
        <n v="69.9019278823096"/>
        <n v="70.0184149161723"/>
        <n v="70.0271474928085"/>
        <n v="70.1269624533679"/>
        <n v="70.2346339440071"/>
        <n v="70.3883687718138"/>
        <n v="70.5296048042221"/>
        <n v="70.7933329755606"/>
        <n v="71.2014785445496"/>
        <n v="71.2966513404859"/>
        <n v="71.484356416924"/>
        <n v="71.4907436844221"/>
        <n v="71.5997397054021"/>
        <n v="71.9156638650051"/>
        <n v="72.1138026668324"/>
        <n v="72.6882895985672"/>
        <n v="72.8933360557243"/>
        <n v="73.9949860065962"/>
        <n v="74.5526177812339"/>
        <n v="76.271793358373"/>
        <n v="78.4705736345141"/>
        <n v="78.6474253037479"/>
        <n v="78.7386580632287"/>
        <n v="79.5118957280543"/>
        <n v="79.947560288212"/>
        <n v="79.9690548804519"/>
        <n v="80.4980152735156"/>
        <n v="81.0886442556412"/>
        <n v="81.1602362097327"/>
        <n v="81.7391458997646"/>
        <n v="82.1785548734208"/>
        <n v="82.2017933853337"/>
        <n v="83.2593273524774"/>
        <n v="83.3725582434965"/>
        <n v="83.4682444894699"/>
        <n v="83.5310658109906"/>
        <n v="83.6474806309468"/>
        <n v="83.6895354323959"/>
        <n v="83.7071006545705"/>
        <n v="84.1796753125843"/>
        <n v="84.6957392680504"/>
        <n v="85.8383082359015"/>
        <n v="85.9374695619462"/>
        <n v="86.3349231088669"/>
        <n v="86.4712908275528"/>
        <n v="86.5152754700766"/>
        <n v="86.6313254900354"/>
        <n v="86.6339640511095"/>
        <n v="86.7813723552276"/>
        <n v="86.8195584207783"/>
        <n v="86.8578547929494"/>
        <n v="86.9101223709874"/>
        <n v="87.2856698550627"/>
        <n v="87.6178188777375"/>
        <n v="88.0081051616084"/>
        <n v="88.597145467979"/>
        <n v="89.4959449277187"/>
        <n v="89.7877991117449"/>
        <n v="90.1519029006413"/>
        <n v="90.1844227888499"/>
        <n v="90.2497706262006"/>
        <n v="90.952621982433"/>
        <n v="91.1654668332745"/>
        <n v="91.7176932303997"/>
        <n v="91.9669282855722"/>
        <n v="92.1862928999547"/>
        <n v="93.547548891605"/>
        <n v="93.8893430253442"/>
        <n v="94.4922672713781"/>
        <n v="94.6231432098122"/>
        <n v="94.7576317377981"/>
        <n v="94.7941773051092"/>
        <n v="94.9383049515741"/>
        <n v="95.4526903744402"/>
        <n v="95.8660752474981"/>
        <n v="95.9949142448119"/>
        <n v="96.0080853887104"/>
        <n v="96.5569322605471"/>
        <n v="96.5710442743554"/>
        <n v="96.5892966070612"/>
        <n v="96.6357518599692"/>
        <n v="96.7210249817492"/>
        <n v="96.8515870881272"/>
        <n v="96.9238733829094"/>
        <n v="96.9598048986668"/>
        <n v="97.0018251319437"/>
        <n v="97.6422219389798"/>
        <n v="97.7049705097422"/>
        <n v="97.8851181764371"/>
        <n v="97.9975868698448"/>
        <n v="98.2247972491959"/>
        <n v="98.8215116082023"/>
        <n v="98.8711027079591"/>
        <n v="98.8734223796695"/>
        <n v="99.0914170336157"/>
        <n v="99.5726096277293"/>
        <n v="99.6047539742009"/>
        <n v="99.6241509771228"/>
        <n v="99.6588910178546"/>
        <n v="100.210916287467"/>
        <n v="100.808077784248"/>
        <n v="101.488239971918"/>
        <n v="102.124602485803"/>
        <n v="102.81956781127"/>
        <n v="103.671321397609"/>
        <n v="103.929896872761"/>
        <n v="103.999555044947"/>
        <n v="104.323972347197"/>
        <n v="104.453036021158"/>
        <n v="104.512761343362"/>
        <n v="104.520358026211"/>
        <n v="104.625954256574"/>
        <n v="104.683548893445"/>
        <n v="104.692496356822"/>
        <n v="104.74853282684"/>
        <n v="104.760522204205"/>
        <n v="104.829499843089"/>
        <n v="104.840989935553"/>
        <n v="104.846213605059"/>
        <n v="104.864409443299"/>
        <n v="105.170595496425"/>
        <n v="105.251928860005"/>
        <n v="105.465158202263"/>
        <n v="105.589326258595"/>
        <n v="105.609796470854"/>
        <n v="105.647839506106"/>
        <n v="105.743329726516"/>
        <n v="105.859897929665"/>
        <n v="105.929118527241"/>
        <n v="105.939672872182"/>
        <n v="105.978639730888"/>
        <n v="106.012270090264"/>
        <n v="106.016466640569"/>
        <n v="106.054566648828"/>
        <n v="106.057201706647"/>
        <n v="106.166655481468"/>
        <n v="106.17261171585"/>
        <n v="106.177356433291"/>
        <n v="106.187397361263"/>
        <n v="106.196993674222"/>
        <n v="106.220326560164"/>
        <n v="106.282313989302"/>
        <n v="106.290563182048"/>
        <n v="106.298473083192"/>
        <n v="106.30909781206"/>
        <n v="106.327271437647"/>
        <n v="106.339190874295"/>
        <n v="106.355681291087"/>
        <n v="106.376925848438"/>
        <n v="106.382905249506"/>
        <n v="106.419717608477"/>
        <n v="106.483257243898"/>
        <n v="106.490444445841"/>
        <n v="106.493487502905"/>
        <n v="106.545801589484"/>
        <n v="106.595941671239"/>
        <n v="106.597239708943"/>
        <n v="106.632323373886"/>
        <n v="106.633274001268"/>
        <n v="106.637211832879"/>
        <n v="106.645485146805"/>
        <n v="106.6511172916"/>
        <n v="106.668595265259"/>
        <n v="106.690118165225"/>
        <n v="106.800902471935"/>
        <n v="106.808231009403"/>
        <n v="106.813897171647"/>
        <n v="106.814169289975"/>
        <n v="106.914645087204"/>
        <n v="106.920654434639"/>
        <n v="106.958705477917"/>
        <n v="107.002537569476"/>
        <n v="107.027652687416"/>
        <n v="107.039190550327"/>
        <n v="107.05666731219"/>
        <n v="107.060954379188"/>
        <n v="107.142216303006"/>
        <n v="107.159918924174"/>
        <n v="107.17621714791"/>
        <n v="107.179458786125"/>
        <n v="107.195157313021"/>
        <n v="107.220660825708"/>
        <n v="107.246598858342"/>
        <n v="107.248574018823"/>
        <n v="107.354246595576"/>
        <n v="107.551363132394"/>
        <n v="107.570247502395"/>
        <n v="107.606013333868"/>
        <n v="107.681131221329"/>
        <n v="107.749637927974"/>
        <n v="108.067414165848"/>
        <n v="108.432055903058"/>
        <n v="108.663487542391"/>
        <n v="108.74555072402"/>
        <n v="108.911892667722"/>
        <n v="109.137244397279"/>
        <n v="109.214835060788"/>
        <n v="109.314831966927"/>
        <n v="109.546002618621"/>
        <n v="109.614928469457"/>
        <n v="109.821177699506"/>
        <n v="109.928305289917"/>
        <n v="110.119707719983"/>
        <n v="110.639047947091"/>
        <n v="111.136675521775"/>
        <n v="111.144068598112"/>
        <n v="111.181568393927"/>
        <n v="111.216890638276"/>
        <n v="111.469543802122"/>
        <n v="111.549346911668"/>
        <n v="111.70488956785"/>
        <n v="112.034124290238"/>
        <n v="112.459209103876"/>
        <n v="112.49761594849"/>
        <n v="112.521794889294"/>
        <n v="112.812622956637"/>
        <n v="113.288076438172"/>
        <n v="113.352304937925"/>
        <n v="113.397995567734"/>
        <n v="113.431579465132"/>
        <n v="113.440855609047"/>
        <n v="113.852835645735"/>
      </sharedItems>
    </cacheField>
    <cacheField name="Machala" numFmtId="0">
      <sharedItems containsSemiMixedTypes="0" containsString="0" containsNumber="1" minValue="64.7520032591687" maxValue="112.96158159951" count="241">
        <n v="64.7520032591687"/>
        <n v="64.9691890476785"/>
        <n v="65.1536329444843"/>
        <n v="65.7707406520619"/>
        <n v="65.9148018169198"/>
        <n v="65.9543542056192"/>
        <n v="66.0094737427901"/>
        <n v="66.113183609243"/>
        <n v="66.1563260623314"/>
        <n v="66.2026959680419"/>
        <n v="66.2391257598372"/>
        <n v="66.331353834082"/>
        <n v="66.66143120449"/>
        <n v="67.0811903081044"/>
        <n v="67.1246729841317"/>
        <n v="67.3430291531541"/>
        <n v="67.4741092005815"/>
        <n v="67.6564231114979"/>
        <n v="67.773885735232"/>
        <n v="67.7907958871761"/>
        <n v="67.8616944498299"/>
        <n v="67.8791442858051"/>
        <n v="68.1100502537344"/>
        <n v="68.1545646474955"/>
        <n v="68.4766337810467"/>
        <n v="68.6541050702286"/>
        <n v="68.6895929904488"/>
        <n v="68.7307057213434"/>
        <n v="68.9478524490364"/>
        <n v="69.166706670279"/>
        <n v="69.2333613960371"/>
        <n v="69.2769693091095"/>
        <n v="69.464293766436"/>
        <n v="69.6447846617537"/>
        <n v="70.1266796642718"/>
        <n v="70.7648894492018"/>
        <n v="71.3300443936166"/>
        <n v="73.1927155627415"/>
        <n v="74.6645848416507"/>
        <n v="75.4348312772717"/>
        <n v="75.8180433153364"/>
        <n v="76.0004262720806"/>
        <n v="76.492959405242"/>
        <n v="76.9570653190282"/>
        <n v="77.341293465543"/>
        <n v="77.5015853563635"/>
        <n v="77.7345479856831"/>
        <n v="78.0974675138458"/>
        <n v="78.4507203603252"/>
        <n v="79.0847746308026"/>
        <n v="79.994941417824"/>
        <n v="80.8551828961331"/>
        <n v="81.0101747444731"/>
        <n v="81.0969492767145"/>
        <n v="81.157174802965"/>
        <n v="81.1908715919368"/>
        <n v="81.264417766861"/>
        <n v="81.4715484808912"/>
        <n v="81.5939506758102"/>
        <n v="82.3544740469519"/>
        <n v="82.6454717084528"/>
        <n v="82.9574339662714"/>
        <n v="83.4967477249511"/>
        <n v="83.9878630008679"/>
        <n v="84.0889689978135"/>
        <n v="84.3680775902212"/>
        <n v="84.449753480765"/>
        <n v="84.4606913355865"/>
        <n v="84.5471534700614"/>
        <n v="84.5602132986341"/>
        <n v="84.9778968103923"/>
        <n v="85.529693388305"/>
        <n v="86.2950030451858"/>
        <n v="86.6242840839474"/>
        <n v="86.7278937932878"/>
        <n v="87.5078454692579"/>
        <n v="87.9857514268765"/>
        <n v="88.0174096274594"/>
        <n v="88.3277605689217"/>
        <n v="88.3328086925852"/>
        <n v="88.4439304156203"/>
        <n v="88.5195221305677"/>
        <n v="89.3496590872882"/>
        <n v="90.0085478853442"/>
        <n v="91.0439144637505"/>
        <n v="91.6782590920878"/>
        <n v="91.7908476901341"/>
        <n v="91.9784935287731"/>
        <n v="92.4111696960535"/>
        <n v="92.4982208677461"/>
        <n v="92.7994320311284"/>
        <n v="92.84003402913"/>
        <n v="93.4763247021436"/>
        <n v="93.7267148479096"/>
        <n v="93.9433193010692"/>
        <n v="94.1819195232429"/>
        <n v="94.3658032094116"/>
        <n v="94.6776353534643"/>
        <n v="95.3530506397872"/>
        <n v="95.4099412087864"/>
        <n v="95.7932693706588"/>
        <n v="95.8632800661962"/>
        <n v="95.8732600141671"/>
        <n v="96.053387350522"/>
        <n v="96.4226436774097"/>
        <n v="96.8871727715413"/>
        <n v="96.906096534206"/>
        <n v="96.9706946966346"/>
        <n v="97.7991616700699"/>
        <n v="98.4394483814766"/>
        <n v="98.6553047833385"/>
        <n v="98.7418276819555"/>
        <n v="98.7765850416355"/>
        <n v="98.861424654572"/>
        <n v="98.9311496005202"/>
        <n v="99.1403487410737"/>
        <n v="99.3951455432447"/>
        <n v="99.7308516044846"/>
        <n v="100.180891110948"/>
        <n v="100.595622288303"/>
        <n v="100.973571089556"/>
        <n v="101.773204383851"/>
        <n v="102.526824750189"/>
        <n v="103.120548368617"/>
        <n v="103.368900207927"/>
        <n v="103.575719632768"/>
        <n v="103.578061312192"/>
        <n v="103.830552635322"/>
        <n v="103.836307778928"/>
        <n v="103.8677164653"/>
        <n v="103.918964151518"/>
        <n v="104.100999831458"/>
        <n v="104.240909170695"/>
        <n v="104.757230597439"/>
        <n v="104.858452558454"/>
        <n v="105.595699672079"/>
        <n v="105.621063801423"/>
        <n v="105.630826827046"/>
        <n v="105.670450808409"/>
        <n v="105.715668242192"/>
        <n v="105.783957091028"/>
        <n v="105.815475425392"/>
        <n v="105.884266167523"/>
        <n v="105.894262392771"/>
        <n v="105.901285196192"/>
        <n v="105.907507685787"/>
        <n v="105.929709851006"/>
        <n v="105.965648425077"/>
        <n v="105.991508608065"/>
        <n v="105.995517029375"/>
        <n v="105.99984159314"/>
        <n v="106.023541426733"/>
        <n v="106.029601833364"/>
        <n v="106.070023543627"/>
        <n v="106.12428236272"/>
        <n v="106.138626546454"/>
        <n v="106.157125083298"/>
        <n v="106.163782612017"/>
        <n v="106.226977372202"/>
        <n v="106.233955220591"/>
        <n v="106.244342936843"/>
        <n v="106.247333710588"/>
        <n v="106.291022185045"/>
        <n v="106.294212854794"/>
        <n v="106.30201293967"/>
        <n v="106.312787118092"/>
        <n v="106.328650352685"/>
        <n v="106.33607792676"/>
        <n v="106.346874643839"/>
        <n v="106.367476342571"/>
        <n v="106.372581926634"/>
        <n v="106.399844186844"/>
        <n v="106.400918256387"/>
        <n v="106.41202660974"/>
        <n v="106.417318179905"/>
        <n v="106.420359581473"/>
        <n v="106.421832436614"/>
        <n v="106.461430041669"/>
        <n v="106.466706971473"/>
        <n v="106.495811757546"/>
        <n v="106.51408283102"/>
        <n v="106.524696591681"/>
        <n v="106.546383048484"/>
        <n v="106.55955507295"/>
        <n v="106.573115818823"/>
        <n v="106.580389611425"/>
        <n v="106.583279231417"/>
        <n v="106.583888086865"/>
        <n v="106.587604055943"/>
        <n v="106.610433991151"/>
        <n v="106.647583126093"/>
        <n v="106.654921839239"/>
        <n v="106.673000715973"/>
        <n v="106.715024082857"/>
        <n v="106.717690856412"/>
        <n v="106.746317874287"/>
        <n v="106.766469297539"/>
        <n v="106.79429556631"/>
        <n v="106.840765343061"/>
        <n v="106.911271366382"/>
        <n v="107.025113995191"/>
        <n v="107.219772107664"/>
        <n v="107.423537298487"/>
        <n v="107.818775337776"/>
        <n v="108.0134681523"/>
        <n v="108.533280866056"/>
        <n v="108.643020634504"/>
        <n v="109.386278292758"/>
        <n v="109.461177638583"/>
        <n v="109.741053202351"/>
        <n v="109.912867023257"/>
        <n v="109.950449341233"/>
        <n v="110.042628530775"/>
        <n v="110.102279456176"/>
        <n v="110.153052088443"/>
        <n v="110.160691013573"/>
        <n v="110.19070989896"/>
        <n v="110.216757185147"/>
        <n v="110.244243509013"/>
        <n v="110.371532336589"/>
        <n v="110.380566755546"/>
        <n v="110.482643666171"/>
        <n v="110.510584184987"/>
        <n v="110.678580076964"/>
        <n v="110.806411954361"/>
        <n v="110.959612856326"/>
        <n v="111.042670249414"/>
        <n v="111.07400604595"/>
        <n v="111.296383555307"/>
        <n v="111.317594127762"/>
        <n v="111.327404761527"/>
        <n v="111.518529764387"/>
        <n v="111.655534310406"/>
        <n v="111.673004316141"/>
        <n v="112.515949996749"/>
        <n v="112.704435744273"/>
        <n v="112.71033196147"/>
        <n v="112.733488851466"/>
        <n v="112.802326631313"/>
        <n v="112.819027648863"/>
        <n v="112.96158159951"/>
      </sharedItems>
    </cacheField>
    <cacheField name="Manta" numFmtId="0">
      <sharedItems containsSemiMixedTypes="0" containsString="0" containsNumber="1" minValue="63.3978629593467" maxValue="113.406478737452" count="241">
        <n v="63.3978629593467"/>
        <n v="63.8061756466731"/>
        <n v="64.1973664436729"/>
        <n v="64.7303224925169"/>
        <n v="64.7985570915506"/>
        <n v="64.8109223368281"/>
        <n v="64.8233669319739"/>
        <n v="65.0004946511399"/>
        <n v="65.0835728342084"/>
        <n v="65.4323404118043"/>
        <n v="65.458395370319"/>
        <n v="65.6137808607429"/>
        <n v="66.3498591461515"/>
        <n v="66.8510189898301"/>
        <n v="67.1284135999889"/>
        <n v="67.257497998965"/>
        <n v="67.2676574192501"/>
        <n v="67.2788377585995"/>
        <n v="67.3904564655717"/>
        <n v="67.707316332876"/>
        <n v="67.8458270104109"/>
        <n v="67.8955751340896"/>
        <n v="68.0399714333291"/>
        <n v="68.099518234734"/>
        <n v="68.33456654386"/>
        <n v="68.4383794273441"/>
        <n v="68.4715992205307"/>
        <n v="68.5062442988631"/>
        <n v="68.8596793628965"/>
        <n v="68.9919930679731"/>
        <n v="69.0178429891275"/>
        <n v="69.11793867825"/>
        <n v="69.2112256321575"/>
        <n v="69.5354515146706"/>
        <n v="70.0421560111915"/>
        <n v="70.4118502066976"/>
        <n v="71.3541547199787"/>
        <n v="72.0829513516016"/>
        <n v="73.1129947762039"/>
        <n v="75.3323826296507"/>
        <n v="75.851248308409"/>
        <n v="76.2392065955077"/>
        <n v="76.622734577326"/>
        <n v="76.9236059510691"/>
        <n v="77.482317323731"/>
        <n v="77.5880931420836"/>
        <n v="77.8996391917425"/>
        <n v="77.925745362828"/>
        <n v="78.6967184773794"/>
        <n v="79.4371447974763"/>
        <n v="80.3113311958421"/>
        <n v="80.526810020963"/>
        <n v="80.5613908866185"/>
        <n v="80.5699552136655"/>
        <n v="80.6507720720334"/>
        <n v="80.7143056021803"/>
        <n v="81.0974334892522"/>
        <n v="81.2356624152776"/>
        <n v="82.1422608541225"/>
        <n v="83.0282983625398"/>
        <n v="83.3467258197033"/>
        <n v="83.589305096905"/>
        <n v="83.6332390266003"/>
        <n v="83.822189588232"/>
        <n v="83.8244758224676"/>
        <n v="83.8552938985374"/>
        <n v="83.9797055401293"/>
        <n v="84.1007181742137"/>
        <n v="84.4552419219153"/>
        <n v="84.5645814973464"/>
        <n v="84.8160384722198"/>
        <n v="85.2224064262769"/>
        <n v="85.7147886363459"/>
        <n v="85.8781050754211"/>
        <n v="86.750927303768"/>
        <n v="87.2097749100752"/>
        <n v="87.2888789541295"/>
        <n v="87.638424772663"/>
        <n v="88.0910924375267"/>
        <n v="88.1819601319916"/>
        <n v="88.394179019707"/>
        <n v="89.3171775844708"/>
        <n v="90.2897639322304"/>
        <n v="90.6898894037166"/>
        <n v="90.8733046493939"/>
        <n v="92.1531148273381"/>
        <n v="92.5373003183693"/>
        <n v="92.8060919455777"/>
        <n v="93.2085349847359"/>
        <n v="93.4859501940295"/>
        <n v="93.7124590284257"/>
        <n v="93.8239360893023"/>
        <n v="94.5879531233805"/>
        <n v="94.9034628329854"/>
        <n v="95.5686262878282"/>
        <n v="95.6107922081145"/>
        <n v="95.8705574789817"/>
        <n v="95.9163331248749"/>
        <n v="95.9851431915263"/>
        <n v="96.0212741432635"/>
        <n v="96.0970060389877"/>
        <n v="96.1410001366902"/>
        <n v="96.1453222249563"/>
        <n v="96.4163297998008"/>
        <n v="96.4281697988313"/>
        <n v="96.7093101187171"/>
        <n v="97.6056067216251"/>
        <n v="98.0211143218428"/>
        <n v="99.272251170726"/>
        <n v="100.015681023184"/>
        <n v="100.172248354397"/>
        <n v="100.298091136054"/>
        <n v="100.357651292521"/>
        <n v="100.514515691574"/>
        <n v="100.618863370461"/>
        <n v="100.625438558363"/>
        <n v="100.715127642598"/>
        <n v="100.736424908812"/>
        <n v="100.794579170659"/>
        <n v="100.975085266945"/>
        <n v="101.939750981277"/>
        <n v="102.388564803323"/>
        <n v="102.632710148251"/>
        <n v="102.687118768187"/>
        <n v="102.818294863831"/>
        <n v="102.867980371462"/>
        <n v="102.950744614208"/>
        <n v="103.163849604931"/>
        <n v="103.214534680028"/>
        <n v="103.247418148012"/>
        <n v="103.325693602849"/>
        <n v="103.445205598415"/>
        <n v="103.493926172835"/>
        <n v="103.780404059538"/>
        <n v="103.790043888544"/>
        <n v="103.813005924879"/>
        <n v="103.832011954542"/>
        <n v="103.838642057767"/>
        <n v="103.861458686967"/>
        <n v="103.863307709738"/>
        <n v="103.877014184869"/>
        <n v="103.897762987746"/>
        <n v="103.910278051731"/>
        <n v="103.912450605149"/>
        <n v="103.925199911132"/>
        <n v="103.955294298847"/>
        <n v="103.987745570072"/>
        <n v="104.00372781931"/>
        <n v="104.029764535988"/>
        <n v="104.080617807072"/>
        <n v="104.099656184064"/>
        <n v="104.120499914648"/>
        <n v="104.131577559781"/>
        <n v="104.153947775218"/>
        <n v="104.197684935333"/>
        <n v="104.199282576685"/>
        <n v="104.239822371693"/>
        <n v="104.250321064264"/>
        <n v="104.259444816799"/>
        <n v="104.291728163161"/>
        <n v="104.299057167587"/>
        <n v="104.300856125363"/>
        <n v="104.330563966677"/>
        <n v="104.342482943738"/>
        <n v="104.391479610143"/>
        <n v="104.393277028164"/>
        <n v="104.400720594384"/>
        <n v="104.406906419221"/>
        <n v="104.430543687901"/>
        <n v="104.432231415359"/>
        <n v="104.436328917463"/>
        <n v="104.437071873898"/>
        <n v="104.440938370227"/>
        <n v="104.452179551157"/>
        <n v="104.495240043437"/>
        <n v="104.527311172048"/>
        <n v="104.537370040242"/>
        <n v="104.560158355069"/>
        <n v="104.584146891071"/>
        <n v="104.604896254881"/>
        <n v="104.609098716461"/>
        <n v="104.609577132733"/>
        <n v="104.682371299834"/>
        <n v="104.702618204472"/>
        <n v="104.821164012402"/>
        <n v="104.82861485056"/>
        <n v="104.835938298906"/>
        <n v="104.861248134654"/>
        <n v="104.881143627348"/>
        <n v="104.992954484675"/>
        <n v="105.051435367118"/>
        <n v="105.105314197575"/>
        <n v="105.14408500779"/>
        <n v="105.159537972664"/>
        <n v="105.183203862476"/>
        <n v="105.187553881136"/>
        <n v="105.25238943284"/>
        <n v="105.27040869719"/>
        <n v="105.282688706628"/>
        <n v="105.303850289362"/>
        <n v="105.381410913037"/>
        <n v="105.440031149472"/>
        <n v="105.982767673366"/>
        <n v="106.121565947708"/>
        <n v="106.221248965437"/>
        <n v="106.221926672971"/>
        <n v="106.604326769953"/>
        <n v="107.338207275801"/>
        <n v="108.398624646897"/>
        <n v="108.61504453684"/>
        <n v="108.823740707897"/>
        <n v="108.857597742626"/>
        <n v="108.904476327784"/>
        <n v="108.908611806496"/>
        <n v="108.911573323797"/>
        <n v="108.919851171427"/>
        <n v="109.46938331245"/>
        <n v="109.5083495846"/>
        <n v="109.553376538388"/>
        <n v="110.076453330061"/>
        <n v="110.22212599435"/>
        <n v="110.373428420489"/>
        <n v="110.59906506125"/>
        <n v="110.646197167945"/>
        <n v="110.743201174631"/>
        <n v="110.885215047101"/>
        <n v="111.104529490977"/>
        <n v="111.262338241218"/>
        <n v="111.305393705644"/>
        <n v="111.746443639703"/>
        <n v="111.798791387037"/>
        <n v="111.938426625006"/>
        <n v="112.023758505762"/>
        <n v="112.205702845241"/>
        <n v="112.364646733959"/>
        <n v="112.414558242691"/>
        <n v="112.438596219547"/>
        <n v="112.898111461515"/>
        <n v="113.213589590455"/>
        <n v="113.276315999529"/>
        <n v="113.406478737452"/>
      </sharedItems>
    </cacheField>
    <cacheField name="Sto. Domingo" numFmtId="0">
      <sharedItems containsString="0" containsBlank="1" containsNumber="1" minValue="101.186048417606" maxValue="115.303321472887" count="122">
        <n v="101.186048417606"/>
        <n v="103.092753873266"/>
        <n v="103.598801912069"/>
        <n v="103.795264350457"/>
        <n v="103.913723870513"/>
        <n v="103.931628614876"/>
        <n v="103.956426426593"/>
        <n v="104.047607561411"/>
        <n v="104.096691030806"/>
        <n v="104.130221251365"/>
        <n v="104.433223347735"/>
        <n v="104.437858839391"/>
        <n v="104.578500444314"/>
        <n v="104.628501801403"/>
        <n v="104.65247131765"/>
        <n v="104.707771144456"/>
        <n v="104.79373663855"/>
        <n v="104.830201254447"/>
        <n v="104.886052502292"/>
        <n v="104.899303288608"/>
        <n v="104.915963979803"/>
        <n v="104.917612281489"/>
        <n v="104.973935698116"/>
        <n v="104.975000958269"/>
        <n v="105.05561729992"/>
        <n v="105.102748176637"/>
        <n v="105.146271868119"/>
        <n v="105.223532010259"/>
        <n v="105.234685215622"/>
        <n v="105.247453003376"/>
        <n v="105.259978929296"/>
        <n v="105.289771928051"/>
        <n v="105.308918276609"/>
        <n v="105.371235883335"/>
        <n v="105.41430823253"/>
        <n v="105.440485864125"/>
        <n v="105.454003736475"/>
        <n v="105.474443687797"/>
        <n v="105.498413493151"/>
        <n v="105.513087692728"/>
        <n v="105.522602205818"/>
        <n v="105.549849453004"/>
        <n v="105.559135091103"/>
        <n v="105.573887778667"/>
        <n v="105.581131842895"/>
        <n v="105.582513814728"/>
        <n v="105.602288229937"/>
        <n v="105.628384584549"/>
        <n v="105.641488086914"/>
        <n v="105.659559502501"/>
        <n v="105.659940484124"/>
        <n v="105.680657632363"/>
        <n v="105.703022687417"/>
        <n v="105.703915532334"/>
        <n v="105.713019141569"/>
        <n v="105.714673403761"/>
        <n v="105.740207876344"/>
        <n v="105.743464144865"/>
        <n v="105.747302980722"/>
        <n v="105.755291325687"/>
        <n v="105.766240101019"/>
        <n v="105.803498771394"/>
        <n v="105.82665440459"/>
        <n v="105.922431608742"/>
        <n v="105.923038033361"/>
        <n v="105.92376260071"/>
        <n v="105.938928637425"/>
        <n v="105.945381403769"/>
        <n v="105.989784410175"/>
        <n v="106.115932154603"/>
        <n v="106.118031925047"/>
        <n v="106.140333023675"/>
        <n v="106.156581193268"/>
        <n v="106.283899250595"/>
        <n v="106.349275836214"/>
        <n v="106.360035934716"/>
        <n v="106.382003614858"/>
        <n v="106.394362885124"/>
        <n v="106.394641973187"/>
        <n v="106.445045464577"/>
        <n v="106.653792411469"/>
        <n v="106.872117778457"/>
        <n v="106.896547218027"/>
        <n v="107.412828945794"/>
        <n v="107.557889204267"/>
        <n v="107.657008292575"/>
        <n v="107.714209170414"/>
        <n v="108.277073723546"/>
        <n v="108.952698889242"/>
        <n v="109.814840367602"/>
        <n v="109.874852967791"/>
        <n v="110.024544074313"/>
        <n v="110.275047762011"/>
        <n v="110.453323289323"/>
        <n v="110.561474532051"/>
        <n v="110.595592781459"/>
        <n v="110.62698960492"/>
        <n v="110.754594514008"/>
        <n v="110.924457899317"/>
        <n v="111.061031218304"/>
        <n v="111.455253430253"/>
        <n v="111.515615895639"/>
        <n v="112.243345151485"/>
        <n v="112.943011795678"/>
        <n v="113.131149884827"/>
        <n v="113.219271840215"/>
        <n v="113.402018740492"/>
        <n v="113.48328082572"/>
        <n v="113.600478719396"/>
        <n v="113.624576280345"/>
        <n v="113.692694710158"/>
        <n v="114.14735778114"/>
        <n v="114.288916596995"/>
        <n v="114.642109728075"/>
        <n v="114.672139482516"/>
        <n v="114.679769979553"/>
        <n v="114.871725364609"/>
        <n v="114.914374157727"/>
        <n v="115.126021427018"/>
        <n v="115.133591790747"/>
        <n v="115.303321472887"/>
        <m/>
      </sharedItems>
    </cacheField>
    <cacheField name="Quito" numFmtId="0">
      <sharedItems containsSemiMixedTypes="0" containsString="0" containsNumber="1" minValue="67.5087142084217" maxValue="113.346228877226" count="241">
        <n v="67.5087142084217"/>
        <n v="67.6108773671374"/>
        <n v="67.6663557105316"/>
        <n v="67.9080591725429"/>
        <n v="68.146875903076"/>
        <n v="68.2779242512123"/>
        <n v="68.2842158174826"/>
        <n v="68.3778637207718"/>
        <n v="69.2963597271065"/>
        <n v="69.420439807655"/>
        <n v="69.52085414231"/>
        <n v="69.5211376574018"/>
        <n v="69.5942437196323"/>
        <n v="70.351512118809"/>
        <n v="70.4887599228667"/>
        <n v="70.5123120484384"/>
        <n v="70.5409533405276"/>
        <n v="70.6014346436557"/>
        <n v="70.6053509681297"/>
        <n v="70.7379743850711"/>
        <n v="71.1664036963793"/>
        <n v="71.3911359405885"/>
        <n v="71.4577942816796"/>
        <n v="71.4790437423993"/>
        <n v="71.4896931391276"/>
        <n v="71.4975276000711"/>
        <n v="71.5281604133076"/>
        <n v="71.6101385844074"/>
        <n v="71.6791039588941"/>
        <n v="71.7481418351452"/>
        <n v="72.1277429668148"/>
        <n v="72.4834857214908"/>
        <n v="73.0483598434902"/>
        <n v="73.0622723597442"/>
        <n v="73.3339683228994"/>
        <n v="73.9373341921843"/>
        <n v="74.6908252344843"/>
        <n v="75.3393713002548"/>
        <n v="76.4088949731344"/>
        <n v="77.0704029331662"/>
        <n v="77.9216186424788"/>
        <n v="78.6492074611426"/>
        <n v="78.8714967868652"/>
        <n v="79.0635030111393"/>
        <n v="79.5387269196616"/>
        <n v="79.5597682343043"/>
        <n v="79.756753437785"/>
        <n v="79.782976663269"/>
        <n v="80.3902385039913"/>
        <n v="80.6653536101809"/>
        <n v="81.4557830915676"/>
        <n v="81.6960050851665"/>
        <n v="81.704276262391"/>
        <n v="81.770069042204"/>
        <n v="81.8787401520038"/>
        <n v="81.9006954080936"/>
        <n v="82.6793428152566"/>
        <n v="82.7218568073372"/>
        <n v="82.7391540773059"/>
        <n v="83.4838739193681"/>
        <n v="84.0779052621024"/>
        <n v="84.2892528177942"/>
        <n v="84.4539231766499"/>
        <n v="84.6822996381217"/>
        <n v="84.8351994909494"/>
        <n v="84.8531355220266"/>
        <n v="84.8752203183034"/>
        <n v="84.9020091502644"/>
        <n v="85.0132584675587"/>
        <n v="85.1639960924262"/>
        <n v="85.2628106033294"/>
        <n v="85.6196313678351"/>
        <n v="86.0543644914492"/>
        <n v="86.40894384248"/>
        <n v="86.6647290850669"/>
        <n v="86.905588773424"/>
        <n v="87.5245720026796"/>
        <n v="87.5902156597933"/>
        <n v="87.8980884053983"/>
        <n v="88.3202773033544"/>
        <n v="89.2080271667477"/>
        <n v="89.6077915789258"/>
        <n v="89.8143952369287"/>
        <n v="90.1968382423245"/>
        <n v="91.1335309018361"/>
        <n v="91.5465577478967"/>
        <n v="91.9400610700449"/>
        <n v="92.0772222647837"/>
        <n v="92.0880063241542"/>
        <n v="92.2450521144452"/>
        <n v="92.6921598772161"/>
        <n v="93.0901147461963"/>
        <n v="94.0182000747672"/>
        <n v="94.3884169499435"/>
        <n v="94.4576881505832"/>
        <n v="94.6540049962751"/>
        <n v="94.69637326988"/>
        <n v="94.6971247780989"/>
        <n v="94.9778389604548"/>
        <n v="95.0020468697538"/>
        <n v="95.0291277021744"/>
        <n v="95.0922216378095"/>
        <n v="95.3119162084524"/>
        <n v="95.3713193086454"/>
        <n v="95.9554181798954"/>
        <n v="96.4791169886388"/>
        <n v="96.7785797679324"/>
        <n v="96.8289520991053"/>
        <n v="97.6917250456856"/>
        <n v="97.745496247822"/>
        <n v="98.2190945805426"/>
        <n v="98.2833495679179"/>
        <n v="98.4914626818311"/>
        <n v="98.7891121007096"/>
        <n v="99.3579828610005"/>
        <n v="99.5082005475166"/>
        <n v="100.28389063925"/>
        <n v="100.436123632405"/>
        <n v="100.584732459185"/>
        <n v="100.598491442376"/>
        <n v="101.003729519276"/>
        <n v="101.66005752579"/>
        <n v="101.783324039921"/>
        <n v="102.709982450222"/>
        <n v="102.821286960141"/>
        <n v="103.078890866347"/>
        <n v="103.112537767721"/>
        <n v="103.270123026129"/>
        <n v="103.456661006907"/>
        <n v="103.560662284782"/>
        <n v="103.777219221679"/>
        <n v="103.822063933704"/>
        <n v="103.900248889003"/>
        <n v="103.957098062664"/>
        <n v="103.980967214118"/>
        <n v="103.988313114515"/>
        <n v="104.051256045526"/>
        <n v="104.059956148919"/>
        <n v="104.143504048764"/>
        <n v="104.173473470964"/>
        <n v="104.209124457576"/>
        <n v="104.296110749581"/>
        <n v="104.362950784357"/>
        <n v="104.388258692919"/>
        <n v="104.421483198273"/>
        <n v="104.459662692537"/>
        <n v="104.528434287367"/>
        <n v="104.571444217839"/>
        <n v="104.590803824391"/>
        <n v="104.6616590923"/>
        <n v="104.671369993523"/>
        <n v="104.672173392562"/>
        <n v="104.678251888392"/>
        <n v="104.775371818322"/>
        <n v="104.781751945782"/>
        <n v="104.800563354346"/>
        <n v="104.805033947163"/>
        <n v="104.822378494871"/>
        <n v="104.82526079716"/>
        <n v="104.83881124486"/>
        <n v="104.841382867814"/>
        <n v="104.842064370314"/>
        <n v="104.852751579232"/>
        <n v="104.935051797663"/>
        <n v="104.944663929008"/>
        <n v="104.959577263148"/>
        <n v="104.983231111816"/>
        <n v="104.995426733689"/>
        <n v="104.998865140765"/>
        <n v="105.009447838137"/>
        <n v="105.055969349442"/>
        <n v="105.096147012956"/>
        <n v="105.096849693935"/>
        <n v="105.161934395791"/>
        <n v="105.208777702433"/>
        <n v="105.225428922442"/>
        <n v="105.233814226179"/>
        <n v="105.268506840799"/>
        <n v="105.280135147407"/>
        <n v="105.289552398416"/>
        <n v="105.29393222432"/>
        <n v="105.29479395566"/>
        <n v="105.295356428671"/>
        <n v="105.295434572802"/>
        <n v="105.344646271328"/>
        <n v="105.351291395449"/>
        <n v="105.381721701159"/>
        <n v="105.388697302402"/>
        <n v="105.442239038368"/>
        <n v="105.469633223912"/>
        <n v="105.471642319681"/>
        <n v="105.478937114174"/>
        <n v="105.512154595267"/>
        <n v="105.539665052271"/>
        <n v="105.542963183985"/>
        <n v="105.640713585443"/>
        <n v="105.643775622866"/>
        <n v="105.660109306802"/>
        <n v="105.746566094748"/>
        <n v="105.764305968326"/>
        <n v="105.842718294006"/>
        <n v="105.979122234902"/>
        <n v="106.11060191089"/>
        <n v="106.120029969784"/>
        <n v="106.627586225824"/>
        <n v="106.922503688936"/>
        <n v="106.939480111497"/>
        <n v="107.363746253801"/>
        <n v="107.80590776683"/>
        <n v="108.355721021608"/>
        <n v="108.833923707276"/>
        <n v="109.145791675623"/>
        <n v="109.812156812183"/>
        <n v="109.99790452261"/>
        <n v="110.048023235392"/>
        <n v="110.110578437557"/>
        <n v="110.146298636686"/>
        <n v="110.33088345995"/>
        <n v="110.374282004273"/>
        <n v="110.421470715197"/>
        <n v="110.443276212015"/>
        <n v="110.676165673735"/>
        <n v="111.104845872084"/>
        <n v="111.159342477901"/>
        <n v="111.171351939722"/>
        <n v="111.182620234308"/>
        <n v="111.361254137395"/>
        <n v="111.376698414759"/>
        <n v="111.422128988913"/>
        <n v="111.423741897866"/>
        <n v="111.434266521868"/>
        <n v="111.531657208002"/>
        <n v="112.41861115"/>
        <n v="112.678968863037"/>
        <n v="112.720606096787"/>
        <n v="112.739353146484"/>
        <n v="112.955875035996"/>
        <n v="113.047289772723"/>
        <n v="113.141215759987"/>
        <n v="113.272931078945"/>
        <n v="113.346228877226"/>
      </sharedItems>
    </cacheField>
    <cacheField name="Loja" numFmtId="0">
      <sharedItems containsSemiMixedTypes="0" containsString="0" containsNumber="1" minValue="65.4876344655496" maxValue="111.170750587999" count="241">
        <n v="65.4876344655496"/>
        <n v="65.723519157507"/>
        <n v="65.9060877809251"/>
        <n v="66.0026709214319"/>
        <n v="66.0134766237179"/>
        <n v="66.3259182063111"/>
        <n v="66.3514378269043"/>
        <n v="66.3545834508823"/>
        <n v="67.2155597540499"/>
        <n v="67.4212752248315"/>
        <n v="67.8301612414937"/>
        <n v="68.0312865439204"/>
        <n v="68.3316854711886"/>
        <n v="68.5300111417831"/>
        <n v="68.5514532060704"/>
        <n v="68.6265697968539"/>
        <n v="68.6365376440788"/>
        <n v="68.9874852233237"/>
        <n v="69.2389913198662"/>
        <n v="69.3446130683687"/>
        <n v="70.7507391449716"/>
        <n v="70.8783270966898"/>
        <n v="70.9228253983473"/>
        <n v="70.923349690207"/>
        <n v="70.934488771486"/>
        <n v="70.9485282265681"/>
        <n v="70.9492798015502"/>
        <n v="70.9791509718512"/>
        <n v="71.1050838325319"/>
        <n v="71.3649734246329"/>
        <n v="71.7462155225415"/>
        <n v="71.9757153797276"/>
        <n v="72.8159131495412"/>
        <n v="72.8829406211677"/>
        <n v="73.0615492171878"/>
        <n v="73.6839861840095"/>
        <n v="74.5076734809482"/>
        <n v="75.0017673759412"/>
        <n v="76.1093483145486"/>
        <n v="77.4727760930282"/>
        <n v="78.6382206022438"/>
        <n v="78.6384078885534"/>
        <n v="79.4838473621145"/>
        <n v="79.8459306069773"/>
        <n v="80.1497115150762"/>
        <n v="80.1636248922142"/>
        <n v="80.2256315544999"/>
        <n v="80.4049284217663"/>
        <n v="80.4908840631383"/>
        <n v="80.9796349525847"/>
        <n v="82.0859255860063"/>
        <n v="82.4600254977267"/>
        <n v="82.588296169737"/>
        <n v="82.6810977808288"/>
        <n v="82.6833541082382"/>
        <n v="82.8373730105941"/>
        <n v="83.6511264282257"/>
        <n v="83.7422298689581"/>
        <n v="83.9273328436821"/>
        <n v="84.2034271002919"/>
        <n v="84.7114367959047"/>
        <n v="84.8325430034548"/>
        <n v="84.9379623411484"/>
        <n v="85.036258966421"/>
        <n v="85.076393077612"/>
        <n v="85.6279683178332"/>
        <n v="85.6543249329405"/>
        <n v="85.8286517909876"/>
        <n v="85.9257189065656"/>
        <n v="86.0296260681515"/>
        <n v="86.186657642169"/>
        <n v="86.5278734015278"/>
        <n v="87.1928809661946"/>
        <n v="87.6809982751522"/>
        <n v="87.9474062248446"/>
        <n v="88.4467537495487"/>
        <n v="88.6389828176856"/>
        <n v="88.945186018981"/>
        <n v="89.0430811567456"/>
        <n v="89.7715188513532"/>
        <n v="90.7433183634366"/>
        <n v="91.1539254076279"/>
        <n v="91.3322470345584"/>
        <n v="91.7389269981467"/>
        <n v="92.1933701644613"/>
        <n v="92.3404837196034"/>
        <n v="92.5768110335607"/>
        <n v="92.7556883059621"/>
        <n v="92.9000710842784"/>
        <n v="92.9119778388592"/>
        <n v="93.0598949881349"/>
        <n v="93.378553761475"/>
        <n v="93.7913836494187"/>
        <n v="93.8397367444947"/>
        <n v="94.2196105097856"/>
        <n v="94.2706544445971"/>
        <n v="94.3020718845268"/>
        <n v="94.7052481847282"/>
        <n v="94.8969155730259"/>
        <n v="95.0395363352799"/>
        <n v="95.0692294289117"/>
        <n v="95.14976921702"/>
        <n v="95.1640424453623"/>
        <n v="95.3504624591196"/>
        <n v="96.2233197592642"/>
        <n v="96.4250290425163"/>
        <n v="96.780266951769"/>
        <n v="96.8873736583549"/>
        <n v="97.3456451766489"/>
        <n v="97.4199859811868"/>
        <n v="97.9189472050279"/>
        <n v="98.1356904771283"/>
        <n v="98.1625368693961"/>
        <n v="98.3448023388842"/>
        <n v="98.3679144720387"/>
        <n v="98.4794477660698"/>
        <n v="98.9759247101674"/>
        <n v="99.3978513835821"/>
        <n v="100.083652158746"/>
        <n v="100.20550519416"/>
        <n v="101.208290350907"/>
        <n v="101.741362190975"/>
        <n v="101.969899366623"/>
        <n v="102.672103689791"/>
        <n v="102.705206181794"/>
        <n v="102.891579777726"/>
        <n v="102.93435690678"/>
        <n v="103.03013371787"/>
        <n v="103.037775436908"/>
        <n v="103.05863864699"/>
        <n v="103.092913658172"/>
        <n v="103.128676544553"/>
        <n v="103.189684034892"/>
        <n v="103.190668467997"/>
        <n v="103.193875735527"/>
        <n v="103.200685863961"/>
        <n v="103.225535101276"/>
        <n v="103.247266988285"/>
        <n v="103.249542593339"/>
        <n v="103.275494791281"/>
        <n v="103.311991371629"/>
        <n v="103.373944803164"/>
        <n v="103.426278241442"/>
        <n v="103.431387807581"/>
        <n v="103.436827673732"/>
        <n v="103.441311813257"/>
        <n v="103.486257825104"/>
        <n v="103.504692836125"/>
        <n v="103.511436310646"/>
        <n v="103.526498459424"/>
        <n v="103.551591417387"/>
        <n v="103.558279275141"/>
        <n v="103.576242429883"/>
        <n v="103.579292541349"/>
        <n v="103.585749011788"/>
        <n v="103.58808266645"/>
        <n v="103.601632782825"/>
        <n v="103.61165869677"/>
        <n v="103.663609620858"/>
        <n v="103.669184536365"/>
        <n v="103.678139671149"/>
        <n v="103.682295069613"/>
        <n v="103.685213850173"/>
        <n v="103.690869822656"/>
        <n v="103.713695917019"/>
        <n v="103.717816188613"/>
        <n v="103.719156660686"/>
        <n v="103.724037837019"/>
        <n v="103.765463262592"/>
        <n v="103.770199771949"/>
        <n v="103.773765292932"/>
        <n v="103.811599882703"/>
        <n v="103.842779949764"/>
        <n v="103.863958116703"/>
        <n v="103.89087507042"/>
        <n v="103.894396578903"/>
        <n v="103.904931353105"/>
        <n v="103.908666940785"/>
        <n v="103.951262575961"/>
        <n v="103.960789966531"/>
        <n v="103.96199276716"/>
        <n v="103.981991785243"/>
        <n v="104.014895665888"/>
        <n v="104.025310610833"/>
        <n v="104.089319532769"/>
        <n v="104.135430684508"/>
        <n v="104.180242464619"/>
        <n v="104.191051226954"/>
        <n v="104.211727772932"/>
        <n v="104.246768889559"/>
        <n v="104.272574312887"/>
        <n v="104.286213946003"/>
        <n v="104.316966896525"/>
        <n v="104.375702197687"/>
        <n v="104.424058893501"/>
        <n v="104.438902162983"/>
        <n v="104.443085114739"/>
        <n v="104.521294603239"/>
        <n v="104.592714241268"/>
        <n v="104.609180938375"/>
        <n v="104.673923651136"/>
        <n v="104.989499588953"/>
        <n v="105.039078894432"/>
        <n v="105.127544897451"/>
        <n v="105.387661465703"/>
        <n v="105.911641137073"/>
        <n v="106.185878347223"/>
        <n v="106.67011131439"/>
        <n v="107.361698016654"/>
        <n v="107.626307533244"/>
        <n v="107.916320407431"/>
        <n v="107.958053802825"/>
        <n v="108.486806498905"/>
        <n v="108.51287465085"/>
        <n v="108.522606395888"/>
        <n v="108.546787552851"/>
        <n v="108.619369712632"/>
        <n v="108.628697249287"/>
        <n v="108.638703540085"/>
        <n v="108.658741846437"/>
        <n v="108.669603637394"/>
        <n v="108.698250468919"/>
        <n v="108.790113705416"/>
        <n v="108.861823536029"/>
        <n v="108.94880333995"/>
        <n v="109.217939885557"/>
        <n v="109.264748280066"/>
        <n v="109.408192065892"/>
        <n v="109.432594136195"/>
        <n v="109.702240556898"/>
        <n v="109.709737522546"/>
        <n v="110.10497917519"/>
        <n v="110.126159191444"/>
        <n v="110.19978244682"/>
        <n v="110.606441178043"/>
        <n v="110.630223633069"/>
        <n v="110.658236007858"/>
        <n v="110.668587473784"/>
        <n v="110.744443839111"/>
        <n v="110.987772841162"/>
        <n v="111.170750587999"/>
      </sharedItems>
    </cacheField>
    <cacheField name="Cuenca" numFmtId="0">
      <sharedItems containsSemiMixedTypes="0" containsString="0" containsNumber="1" minValue="68.3336942826289" maxValue="116.731022933923" count="241">
        <n v="68.3336942826289"/>
        <n v="68.7067184467648"/>
        <n v="68.8137575453319"/>
        <n v="68.8717233735356"/>
        <n v="69.1631384235174"/>
        <n v="69.2337965342391"/>
        <n v="69.2752458729384"/>
        <n v="69.2941556634266"/>
        <n v="69.4306628986431"/>
        <n v="69.5525988196299"/>
        <n v="69.8676213733075"/>
        <n v="70.0040847091931"/>
        <n v="70.4090524417767"/>
        <n v="70.6796236754805"/>
        <n v="70.9774417137994"/>
        <n v="71.0217684394115"/>
        <n v="71.0909394713265"/>
        <n v="71.1448040969255"/>
        <n v="71.1481178442902"/>
        <n v="71.1867101147508"/>
        <n v="71.2261332898046"/>
        <n v="71.4033136970126"/>
        <n v="71.5334323682195"/>
        <n v="71.5564624015906"/>
        <n v="71.7023825942869"/>
        <n v="71.8526421609335"/>
        <n v="71.9034900810421"/>
        <n v="71.9528044956241"/>
        <n v="72.0243842112133"/>
        <n v="72.2376254862075"/>
        <n v="72.5421898557099"/>
        <n v="72.7870676543721"/>
        <n v="73.4979774738892"/>
        <n v="73.8206836273423"/>
        <n v="74.2279761231393"/>
        <n v="74.5699814534422"/>
        <n v="75.1291240916651"/>
        <n v="75.5025146068083"/>
        <n v="76.2531507500771"/>
        <n v="76.899556375375"/>
        <n v="78.2680871633539"/>
        <n v="78.7266346767188"/>
        <n v="79.4975826015364"/>
        <n v="79.6025816448703"/>
        <n v="80.2634538356549"/>
        <n v="80.3186265556346"/>
        <n v="80.4904497458749"/>
        <n v="80.6864735961743"/>
        <n v="81.0810290048349"/>
        <n v="81.6011704107037"/>
        <n v="82.302515013282"/>
        <n v="82.5311320368045"/>
        <n v="82.5333720587413"/>
        <n v="82.5593035522809"/>
        <n v="82.5857026627248"/>
        <n v="82.7467693638799"/>
        <n v="82.9579616140011"/>
        <n v="83.1491899703058"/>
        <n v="83.1760585016606"/>
        <n v="83.4498028328559"/>
        <n v="83.5191598855951"/>
        <n v="83.6959753170843"/>
        <n v="83.699681352484"/>
        <n v="84.2864336954948"/>
        <n v="84.4778316095932"/>
        <n v="84.6520494270784"/>
        <n v="84.7021846451175"/>
        <n v="84.8120387417174"/>
        <n v="85.9905383578938"/>
        <n v="86.1882869903853"/>
        <n v="86.207935833612"/>
        <n v="86.4593481176829"/>
        <n v="87.0167079144114"/>
        <n v="87.4168216356784"/>
        <n v="87.8977367688445"/>
        <n v="88.0700518393672"/>
        <n v="88.310148604854"/>
        <n v="88.3454396281049"/>
        <n v="88.3705190418063"/>
        <n v="88.5947938214665"/>
        <n v="89.4200383736517"/>
        <n v="89.8961599202365"/>
        <n v="90.1214835137911"/>
        <n v="90.2064172570058"/>
        <n v="91.0312298859676"/>
        <n v="91.6470011888532"/>
        <n v="91.6654250416017"/>
        <n v="91.8069044565251"/>
        <n v="91.9292772203856"/>
        <n v="91.9540452698189"/>
        <n v="92.1680490223074"/>
        <n v="92.2824716394066"/>
        <n v="93.5115259950631"/>
        <n v="93.5211334458736"/>
        <n v="93.7320340610512"/>
        <n v="93.7473911715627"/>
        <n v="93.821211192245"/>
        <n v="94.0136147750034"/>
        <n v="94.7649314012015"/>
        <n v="94.7685365768918"/>
        <n v="94.9526105714243"/>
        <n v="94.9628201025354"/>
        <n v="95.0290623175607"/>
        <n v="95.3521023076148"/>
        <n v="96.5485206745309"/>
        <n v="96.9903744586592"/>
        <n v="97.1990088916844"/>
        <n v="97.4263698522692"/>
        <n v="97.6445779388966"/>
        <n v="97.8586892049911"/>
        <n v="98.0829921203173"/>
        <n v="98.5211460649702"/>
        <n v="98.7018048590042"/>
        <n v="98.709424182523"/>
        <n v="99.175693158127"/>
        <n v="99.2398003646052"/>
        <n v="99.8018142528928"/>
        <n v="99.9158452673746"/>
        <n v="100.323992290867"/>
        <n v="100.456958771502"/>
        <n v="101.503130290946"/>
        <n v="101.941508678838"/>
        <n v="102.290329547112"/>
        <n v="102.832872472738"/>
        <n v="103.101615578799"/>
        <n v="103.287613768936"/>
        <n v="103.565294320053"/>
        <n v="103.652536317818"/>
        <n v="103.8345994374"/>
        <n v="103.92406493262"/>
        <n v="104.117951401849"/>
        <n v="104.75016952407"/>
        <n v="104.771350069058"/>
        <n v="104.919597791571"/>
        <n v="105.139239711717"/>
        <n v="105.142658511011"/>
        <n v="105.191685159266"/>
        <n v="105.238557330501"/>
        <n v="105.24907126636"/>
        <n v="105.257023048011"/>
        <n v="105.270860550123"/>
        <n v="105.304213836658"/>
        <n v="105.425696573467"/>
        <n v="105.44364841797"/>
        <n v="105.502761639772"/>
        <n v="105.546346658744"/>
        <n v="105.569276719954"/>
        <n v="105.696660966885"/>
        <n v="105.698596820561"/>
        <n v="105.758456111777"/>
        <n v="105.853519407102"/>
        <n v="105.875186271016"/>
        <n v="105.878174454165"/>
        <n v="105.88035969202"/>
        <n v="105.881109446246"/>
        <n v="105.888744894242"/>
        <n v="105.954942314516"/>
        <n v="105.955564493853"/>
        <n v="106.074990982788"/>
        <n v="106.122961907617"/>
        <n v="106.145438024833"/>
        <n v="106.19981721982"/>
        <n v="106.202972540619"/>
        <n v="106.208437876188"/>
        <n v="106.228175404012"/>
        <n v="106.233245585853"/>
        <n v="106.246512545219"/>
        <n v="106.258098682371"/>
        <n v="106.276262746244"/>
        <n v="106.319803082093"/>
        <n v="106.414276825678"/>
        <n v="106.424449741409"/>
        <n v="106.445632546409"/>
        <n v="106.446388338108"/>
        <n v="106.475498298723"/>
        <n v="106.491561362401"/>
        <n v="106.512326845076"/>
        <n v="106.515494637301"/>
        <n v="106.528464440443"/>
        <n v="106.563871376337"/>
        <n v="106.566392221687"/>
        <n v="106.572134204669"/>
        <n v="106.584635772912"/>
        <n v="106.584908064292"/>
        <n v="106.594350933673"/>
        <n v="106.596847057723"/>
        <n v="106.658285513787"/>
        <n v="106.684052126494"/>
        <n v="106.69567865709"/>
        <n v="106.706800000308"/>
        <n v="106.707416389502"/>
        <n v="106.757293963083"/>
        <n v="106.817548593771"/>
        <n v="106.974416040759"/>
        <n v="107.023921089964"/>
        <n v="107.130532955877"/>
        <n v="107.322235313948"/>
        <n v="107.549243430526"/>
        <n v="107.614837913416"/>
        <n v="107.711733720848"/>
        <n v="107.90202025074"/>
        <n v="108.338319512871"/>
        <n v="108.376513997915"/>
        <n v="108.466895769599"/>
        <n v="108.954455777992"/>
        <n v="109.50484028991"/>
        <n v="109.717042324364"/>
        <n v="110.190736455815"/>
        <n v="110.550703632523"/>
        <n v="110.897772345027"/>
        <n v="111.135794564221"/>
        <n v="111.637544943547"/>
        <n v="111.76026683494"/>
        <n v="112.035832089429"/>
        <n v="112.241419467711"/>
        <n v="112.265527178108"/>
        <n v="112.285039250017"/>
        <n v="112.407845962711"/>
        <n v="112.479507161463"/>
        <n v="112.612525427001"/>
        <n v="112.640321506396"/>
        <n v="113.005270410446"/>
        <n v="113.256327796142"/>
        <n v="113.330159348011"/>
        <n v="113.355445154777"/>
        <n v="113.402652222283"/>
        <n v="113.693583358907"/>
        <n v="113.731053041717"/>
        <n v="113.832438316529"/>
        <n v="113.835466561822"/>
        <n v="114.102674905143"/>
        <n v="115.15282074912"/>
        <n v="115.214313122219"/>
        <n v="115.319688913987"/>
        <n v="115.347720866292"/>
        <n v="115.639681994485"/>
        <n v="116.187704200316"/>
        <n v="116.308243136769"/>
        <n v="116.35315487149"/>
        <n v="116.455639732269"/>
        <n v="116.731022933923"/>
      </sharedItems>
    </cacheField>
    <cacheField name="Ambato" numFmtId="0">
      <sharedItems containsSemiMixedTypes="0" containsString="0" containsNumber="1" minValue="64.2719581035543" maxValue="112.120401146109" count="241">
        <n v="64.2719581035543"/>
        <n v="64.5367117347421"/>
        <n v="64.8692942407603"/>
        <n v="65.215596736082"/>
        <n v="65.3958078638224"/>
        <n v="65.4195764554556"/>
        <n v="65.5534840422933"/>
        <n v="65.6698141702325"/>
        <n v="65.8353641241953"/>
        <n v="66.2154415004504"/>
        <n v="66.2672290783544"/>
        <n v="66.6714359336439"/>
        <n v="67.0040782082251"/>
        <n v="67.0501509500494"/>
        <n v="67.0784973248391"/>
        <n v="67.1902080912455"/>
        <n v="67.2742863100048"/>
        <n v="67.402907180848"/>
        <n v="67.4182594141336"/>
        <n v="67.4466343264092"/>
        <n v="68.2469883400691"/>
        <n v="68.2643652269404"/>
        <n v="68.2742842817168"/>
        <n v="68.3240719169598"/>
        <n v="68.4324597639995"/>
        <n v="68.4405208622361"/>
        <n v="68.4752456123122"/>
        <n v="68.5035453266993"/>
        <n v="68.7600586738342"/>
        <n v="68.7995295299159"/>
        <n v="69.3381097772846"/>
        <n v="69.4612849606169"/>
        <n v="69.9937302924819"/>
        <n v="70.1127261280781"/>
        <n v="70.3348388447914"/>
        <n v="70.4978687114998"/>
        <n v="71.2435088627968"/>
        <n v="72.1379144953093"/>
        <n v="73.0880362402128"/>
        <n v="73.8432404882817"/>
        <n v="75.2340354206501"/>
        <n v="75.9855153409037"/>
        <n v="76.5315923972752"/>
        <n v="76.6716158517274"/>
        <n v="76.9328634106153"/>
        <n v="76.9563461919975"/>
        <n v="76.9665230107679"/>
        <n v="77.528864967339"/>
        <n v="77.628120373828"/>
        <n v="78.0350866795907"/>
        <n v="78.8676305494343"/>
        <n v="78.8867687922452"/>
        <n v="78.9190416497736"/>
        <n v="79.2875084477207"/>
        <n v="79.4370068379246"/>
        <n v="79.5112905027597"/>
        <n v="79.6850747409893"/>
        <n v="79.8304991320933"/>
        <n v="79.9719404622416"/>
        <n v="80.4953578130351"/>
        <n v="81.2830313977755"/>
        <n v="81.5023247015941"/>
        <n v="81.8749342996236"/>
        <n v="81.9735106337249"/>
        <n v="82.0249072511072"/>
        <n v="82.0323585986487"/>
        <n v="82.1403434645802"/>
        <n v="82.3100411983306"/>
        <n v="82.9687430200012"/>
        <n v="83.1921025079281"/>
        <n v="83.9095974689899"/>
        <n v="84.3796589779119"/>
        <n v="85.1861096179669"/>
        <n v="86.2314646638246"/>
        <n v="86.659753159889"/>
        <n v="87.0248726988629"/>
        <n v="87.1270173558364"/>
        <n v="87.2304164006813"/>
        <n v="87.3409490197981"/>
        <n v="88.1394833285245"/>
        <n v="89.0054282094374"/>
        <n v="89.0764909273717"/>
        <n v="89.1720407657949"/>
        <n v="89.7955285236975"/>
        <n v="90.6427532962083"/>
        <n v="91.3164194246451"/>
        <n v="91.4714968837508"/>
        <n v="91.8895748538659"/>
        <n v="92.3417258422892"/>
        <n v="92.5602115913065"/>
        <n v="92.649695194846"/>
        <n v="92.7058187142112"/>
        <n v="92.9105186807612"/>
        <n v="94.2556766162285"/>
        <n v="94.3704967984843"/>
        <n v="94.3772970608627"/>
        <n v="94.3775362086803"/>
        <n v="94.4076843433857"/>
        <n v="94.4113555891924"/>
        <n v="94.487672094133"/>
        <n v="94.6648254468065"/>
        <n v="94.8836391070516"/>
        <n v="95.0154632636584"/>
        <n v="95.3042128225419"/>
        <n v="95.6207089610215"/>
        <n v="96.0265400392139"/>
        <n v="96.0595827835248"/>
        <n v="96.2484521976507"/>
        <n v="96.2943139046177"/>
        <n v="96.8880715326748"/>
        <n v="97.4019025972187"/>
        <n v="97.5283671260118"/>
        <n v="97.8634075937028"/>
        <n v="97.993422235937"/>
        <n v="98.014771426594"/>
        <n v="98.9835687627888"/>
        <n v="99.8859343187428"/>
        <n v="100.410675512176"/>
        <n v="100.645825359719"/>
        <n v="100.720869400006"/>
        <n v="101.030194926463"/>
        <n v="101.563710916118"/>
        <n v="101.683024290636"/>
        <n v="102.333316997085"/>
        <n v="102.734165121692"/>
        <n v="103.346584593785"/>
        <n v="103.556711806876"/>
        <n v="103.839138045609"/>
        <n v="103.931740612055"/>
        <n v="103.933202199138"/>
        <n v="103.938088934518"/>
        <n v="104.0889974777"/>
        <n v="104.198866881701"/>
        <n v="104.261209533305"/>
        <n v="104.262044238552"/>
        <n v="104.285248501065"/>
        <n v="104.429528601176"/>
        <n v="104.484744731307"/>
        <n v="104.554139777259"/>
        <n v="104.623256945753"/>
        <n v="104.664517537948"/>
        <n v="104.682006104538"/>
        <n v="104.683873556506"/>
        <n v="104.689542167396"/>
        <n v="104.698343911999"/>
        <n v="104.721225682118"/>
        <n v="104.751758630162"/>
        <n v="104.776248438499"/>
        <n v="104.826984108459"/>
        <n v="104.862264322317"/>
        <n v="104.941687111389"/>
        <n v="104.97241198625"/>
        <n v="104.977548333056"/>
        <n v="104.983025521627"/>
        <n v="104.991132693489"/>
        <n v="105.004090522547"/>
        <n v="105.004832615589"/>
        <n v="105.018325180874"/>
        <n v="105.043045886338"/>
        <n v="105.043619876879"/>
        <n v="105.081354313655"/>
        <n v="105.093291307505"/>
        <n v="105.095168562253"/>
        <n v="105.118790446104"/>
        <n v="105.149188003128"/>
        <n v="105.163418462002"/>
        <n v="105.164662059002"/>
        <n v="105.170544425075"/>
        <n v="105.179703213401"/>
        <n v="105.181332237411"/>
        <n v="105.197485432057"/>
        <n v="105.198513229551"/>
        <n v="105.213365550988"/>
        <n v="105.222153478131"/>
        <n v="105.222465371313"/>
        <n v="105.226705238009"/>
        <n v="105.257522895353"/>
        <n v="105.288255371471"/>
        <n v="105.33814018289"/>
        <n v="105.364013051555"/>
        <n v="105.394819813335"/>
        <n v="105.415307684953"/>
        <n v="105.443377845375"/>
        <n v="105.449442927634"/>
        <n v="105.456180601183"/>
        <n v="105.505204862557"/>
        <n v="105.537272788115"/>
        <n v="105.691323208031"/>
        <n v="105.709178838625"/>
        <n v="105.75190423093"/>
        <n v="105.756367869144"/>
        <n v="105.758367768923"/>
        <n v="105.760818856237"/>
        <n v="105.766646275278"/>
        <n v="105.769533201256"/>
        <n v="105.818266884542"/>
        <n v="105.82347690123"/>
        <n v="105.826530173419"/>
        <n v="105.867132823319"/>
        <n v="106.007660340216"/>
        <n v="106.05324172447"/>
        <n v="106.109328762938"/>
        <n v="106.174038704329"/>
        <n v="106.191948050029"/>
        <n v="106.305325262624"/>
        <n v="106.333577212106"/>
        <n v="106.466099421264"/>
        <n v="106.898129162113"/>
        <n v="108.019257190622"/>
        <n v="108.56550641833"/>
        <n v="108.628890501564"/>
        <n v="108.667468599937"/>
        <n v="108.938775270024"/>
        <n v="109.007026622686"/>
        <n v="109.074896086816"/>
        <n v="109.149455818462"/>
        <n v="109.18047335696"/>
        <n v="109.219001087308"/>
        <n v="109.290742862458"/>
        <n v="109.387791290975"/>
        <n v="109.455486399438"/>
        <n v="109.597034694418"/>
        <n v="109.607436534995"/>
        <n v="109.774596644682"/>
        <n v="109.781768407238"/>
        <n v="109.881768743691"/>
        <n v="109.896749977888"/>
        <n v="109.907869753059"/>
        <n v="110.118691394928"/>
        <n v="110.241402850956"/>
        <n v="110.255076120051"/>
        <n v="110.274961146312"/>
        <n v="110.386340812476"/>
        <n v="110.795770687733"/>
        <n v="110.879784430161"/>
        <n v="110.921049787948"/>
        <n v="110.93563614717"/>
        <n v="111.071918261592"/>
        <n v="111.335172974319"/>
        <n v="111.582853026755"/>
        <n v="112.12040114610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1">
  <r>
    <x v="0"/>
    <x v="0"/>
    <x v="0"/>
    <x v="0"/>
    <x v="0"/>
    <x v="0"/>
    <x v="1"/>
    <x v="0"/>
    <x v="121"/>
    <x v="0"/>
    <x v="0"/>
    <x v="0"/>
    <x v="0"/>
  </r>
  <r>
    <x v="1"/>
    <x v="1"/>
    <x v="1"/>
    <x v="1"/>
    <x v="1"/>
    <x v="1"/>
    <x v="0"/>
    <x v="1"/>
    <x v="121"/>
    <x v="1"/>
    <x v="2"/>
    <x v="1"/>
    <x v="1"/>
  </r>
  <r>
    <x v="2"/>
    <x v="2"/>
    <x v="2"/>
    <x v="2"/>
    <x v="2"/>
    <x v="2"/>
    <x v="2"/>
    <x v="2"/>
    <x v="121"/>
    <x v="2"/>
    <x v="1"/>
    <x v="3"/>
    <x v="2"/>
  </r>
  <r>
    <x v="3"/>
    <x v="4"/>
    <x v="3"/>
    <x v="8"/>
    <x v="10"/>
    <x v="7"/>
    <x v="3"/>
    <x v="5"/>
    <x v="121"/>
    <x v="3"/>
    <x v="3"/>
    <x v="6"/>
    <x v="5"/>
  </r>
  <r>
    <x v="4"/>
    <x v="6"/>
    <x v="4"/>
    <x v="9"/>
    <x v="11"/>
    <x v="9"/>
    <x v="7"/>
    <x v="6"/>
    <x v="121"/>
    <x v="4"/>
    <x v="4"/>
    <x v="7"/>
    <x v="4"/>
  </r>
  <r>
    <x v="5"/>
    <x v="7"/>
    <x v="7"/>
    <x v="6"/>
    <x v="8"/>
    <x v="8"/>
    <x v="6"/>
    <x v="3"/>
    <x v="121"/>
    <x v="7"/>
    <x v="5"/>
    <x v="5"/>
    <x v="7"/>
  </r>
  <r>
    <x v="6"/>
    <x v="5"/>
    <x v="6"/>
    <x v="5"/>
    <x v="7"/>
    <x v="4"/>
    <x v="5"/>
    <x v="8"/>
    <x v="121"/>
    <x v="6"/>
    <x v="6"/>
    <x v="2"/>
    <x v="6"/>
  </r>
  <r>
    <x v="7"/>
    <x v="3"/>
    <x v="5"/>
    <x v="3"/>
    <x v="4"/>
    <x v="3"/>
    <x v="4"/>
    <x v="4"/>
    <x v="121"/>
    <x v="5"/>
    <x v="7"/>
    <x v="4"/>
    <x v="3"/>
  </r>
  <r>
    <x v="8"/>
    <x v="8"/>
    <x v="8"/>
    <x v="4"/>
    <x v="3"/>
    <x v="5"/>
    <x v="8"/>
    <x v="7"/>
    <x v="121"/>
    <x v="8"/>
    <x v="8"/>
    <x v="8"/>
    <x v="8"/>
  </r>
  <r>
    <x v="9"/>
    <x v="9"/>
    <x v="9"/>
    <x v="7"/>
    <x v="5"/>
    <x v="6"/>
    <x v="9"/>
    <x v="10"/>
    <x v="121"/>
    <x v="11"/>
    <x v="9"/>
    <x v="9"/>
    <x v="9"/>
  </r>
  <r>
    <x v="10"/>
    <x v="10"/>
    <x v="10"/>
    <x v="10"/>
    <x v="6"/>
    <x v="10"/>
    <x v="10"/>
    <x v="9"/>
    <x v="121"/>
    <x v="9"/>
    <x v="10"/>
    <x v="10"/>
    <x v="10"/>
  </r>
  <r>
    <x v="11"/>
    <x v="11"/>
    <x v="11"/>
    <x v="11"/>
    <x v="9"/>
    <x v="11"/>
    <x v="11"/>
    <x v="11"/>
    <x v="121"/>
    <x v="10"/>
    <x v="11"/>
    <x v="11"/>
    <x v="11"/>
  </r>
  <r>
    <x v="12"/>
    <x v="12"/>
    <x v="12"/>
    <x v="12"/>
    <x v="12"/>
    <x v="12"/>
    <x v="12"/>
    <x v="12"/>
    <x v="121"/>
    <x v="12"/>
    <x v="12"/>
    <x v="12"/>
    <x v="12"/>
  </r>
  <r>
    <x v="13"/>
    <x v="13"/>
    <x v="13"/>
    <x v="13"/>
    <x v="13"/>
    <x v="15"/>
    <x v="13"/>
    <x v="13"/>
    <x v="121"/>
    <x v="13"/>
    <x v="14"/>
    <x v="13"/>
    <x v="17"/>
  </r>
  <r>
    <x v="14"/>
    <x v="18"/>
    <x v="19"/>
    <x v="17"/>
    <x v="16"/>
    <x v="19"/>
    <x v="18"/>
    <x v="17"/>
    <x v="121"/>
    <x v="19"/>
    <x v="18"/>
    <x v="16"/>
    <x v="19"/>
  </r>
  <r>
    <x v="15"/>
    <x v="19"/>
    <x v="17"/>
    <x v="21"/>
    <x v="22"/>
    <x v="23"/>
    <x v="23"/>
    <x v="18"/>
    <x v="121"/>
    <x v="17"/>
    <x v="16"/>
    <x v="19"/>
    <x v="16"/>
  </r>
  <r>
    <x v="16"/>
    <x v="16"/>
    <x v="14"/>
    <x v="19"/>
    <x v="19"/>
    <x v="25"/>
    <x v="17"/>
    <x v="16"/>
    <x v="121"/>
    <x v="14"/>
    <x v="13"/>
    <x v="18"/>
    <x v="15"/>
  </r>
  <r>
    <x v="17"/>
    <x v="14"/>
    <x v="15"/>
    <x v="14"/>
    <x v="15"/>
    <x v="16"/>
    <x v="19"/>
    <x v="14"/>
    <x v="121"/>
    <x v="18"/>
    <x v="15"/>
    <x v="15"/>
    <x v="13"/>
  </r>
  <r>
    <x v="18"/>
    <x v="15"/>
    <x v="16"/>
    <x v="15"/>
    <x v="17"/>
    <x v="13"/>
    <x v="16"/>
    <x v="15"/>
    <x v="121"/>
    <x v="15"/>
    <x v="17"/>
    <x v="14"/>
    <x v="14"/>
  </r>
  <r>
    <x v="19"/>
    <x v="17"/>
    <x v="18"/>
    <x v="18"/>
    <x v="18"/>
    <x v="17"/>
    <x v="14"/>
    <x v="19"/>
    <x v="121"/>
    <x v="16"/>
    <x v="19"/>
    <x v="17"/>
    <x v="18"/>
  </r>
  <r>
    <x v="20"/>
    <x v="20"/>
    <x v="20"/>
    <x v="16"/>
    <x v="14"/>
    <x v="14"/>
    <x v="15"/>
    <x v="22"/>
    <x v="121"/>
    <x v="20"/>
    <x v="20"/>
    <x v="20"/>
    <x v="22"/>
  </r>
  <r>
    <x v="21"/>
    <x v="21"/>
    <x v="21"/>
    <x v="20"/>
    <x v="21"/>
    <x v="18"/>
    <x v="21"/>
    <x v="21"/>
    <x v="121"/>
    <x v="21"/>
    <x v="21"/>
    <x v="21"/>
    <x v="26"/>
  </r>
  <r>
    <x v="22"/>
    <x v="23"/>
    <x v="22"/>
    <x v="23"/>
    <x v="23"/>
    <x v="21"/>
    <x v="20"/>
    <x v="20"/>
    <x v="121"/>
    <x v="22"/>
    <x v="27"/>
    <x v="22"/>
    <x v="24"/>
  </r>
  <r>
    <x v="23"/>
    <x v="22"/>
    <x v="24"/>
    <x v="22"/>
    <x v="20"/>
    <x v="20"/>
    <x v="22"/>
    <x v="23"/>
    <x v="121"/>
    <x v="27"/>
    <x v="22"/>
    <x v="23"/>
    <x v="21"/>
  </r>
  <r>
    <x v="24"/>
    <x v="24"/>
    <x v="28"/>
    <x v="24"/>
    <x v="24"/>
    <x v="22"/>
    <x v="24"/>
    <x v="25"/>
    <x v="121"/>
    <x v="28"/>
    <x v="26"/>
    <x v="24"/>
    <x v="27"/>
  </r>
  <r>
    <x v="25"/>
    <x v="25"/>
    <x v="27"/>
    <x v="25"/>
    <x v="25"/>
    <x v="24"/>
    <x v="26"/>
    <x v="24"/>
    <x v="121"/>
    <x v="25"/>
    <x v="23"/>
    <x v="26"/>
    <x v="29"/>
  </r>
  <r>
    <x v="26"/>
    <x v="27"/>
    <x v="26"/>
    <x v="26"/>
    <x v="26"/>
    <x v="27"/>
    <x v="27"/>
    <x v="26"/>
    <x v="121"/>
    <x v="26"/>
    <x v="24"/>
    <x v="28"/>
    <x v="25"/>
  </r>
  <r>
    <x v="27"/>
    <x v="26"/>
    <x v="25"/>
    <x v="27"/>
    <x v="27"/>
    <x v="26"/>
    <x v="25"/>
    <x v="28"/>
    <x v="121"/>
    <x v="24"/>
    <x v="28"/>
    <x v="25"/>
    <x v="23"/>
  </r>
  <r>
    <x v="28"/>
    <x v="28"/>
    <x v="23"/>
    <x v="28"/>
    <x v="29"/>
    <x v="28"/>
    <x v="28"/>
    <x v="27"/>
    <x v="121"/>
    <x v="23"/>
    <x v="25"/>
    <x v="27"/>
    <x v="20"/>
  </r>
  <r>
    <x v="29"/>
    <x v="29"/>
    <x v="29"/>
    <x v="30"/>
    <x v="30"/>
    <x v="29"/>
    <x v="29"/>
    <x v="29"/>
    <x v="121"/>
    <x v="29"/>
    <x v="29"/>
    <x v="29"/>
    <x v="28"/>
  </r>
  <r>
    <x v="30"/>
    <x v="30"/>
    <x v="30"/>
    <x v="31"/>
    <x v="31"/>
    <x v="30"/>
    <x v="31"/>
    <x v="33"/>
    <x v="121"/>
    <x v="30"/>
    <x v="30"/>
    <x v="30"/>
    <x v="30"/>
  </r>
  <r>
    <x v="31"/>
    <x v="31"/>
    <x v="31"/>
    <x v="29"/>
    <x v="28"/>
    <x v="31"/>
    <x v="30"/>
    <x v="30"/>
    <x v="121"/>
    <x v="31"/>
    <x v="31"/>
    <x v="31"/>
    <x v="31"/>
  </r>
  <r>
    <x v="32"/>
    <x v="32"/>
    <x v="32"/>
    <x v="32"/>
    <x v="32"/>
    <x v="32"/>
    <x v="32"/>
    <x v="31"/>
    <x v="121"/>
    <x v="32"/>
    <x v="33"/>
    <x v="32"/>
    <x v="32"/>
  </r>
  <r>
    <x v="33"/>
    <x v="33"/>
    <x v="33"/>
    <x v="33"/>
    <x v="33"/>
    <x v="33"/>
    <x v="33"/>
    <x v="32"/>
    <x v="121"/>
    <x v="33"/>
    <x v="32"/>
    <x v="33"/>
    <x v="33"/>
  </r>
  <r>
    <x v="34"/>
    <x v="34"/>
    <x v="34"/>
    <x v="34"/>
    <x v="34"/>
    <x v="34"/>
    <x v="34"/>
    <x v="34"/>
    <x v="121"/>
    <x v="34"/>
    <x v="34"/>
    <x v="34"/>
    <x v="35"/>
  </r>
  <r>
    <x v="35"/>
    <x v="35"/>
    <x v="35"/>
    <x v="35"/>
    <x v="35"/>
    <x v="35"/>
    <x v="35"/>
    <x v="35"/>
    <x v="121"/>
    <x v="35"/>
    <x v="35"/>
    <x v="35"/>
    <x v="34"/>
  </r>
  <r>
    <x v="36"/>
    <x v="36"/>
    <x v="36"/>
    <x v="36"/>
    <x v="36"/>
    <x v="36"/>
    <x v="36"/>
    <x v="36"/>
    <x v="121"/>
    <x v="36"/>
    <x v="36"/>
    <x v="36"/>
    <x v="36"/>
  </r>
  <r>
    <x v="37"/>
    <x v="37"/>
    <x v="37"/>
    <x v="37"/>
    <x v="37"/>
    <x v="37"/>
    <x v="37"/>
    <x v="37"/>
    <x v="121"/>
    <x v="37"/>
    <x v="37"/>
    <x v="37"/>
    <x v="37"/>
  </r>
  <r>
    <x v="38"/>
    <x v="38"/>
    <x v="38"/>
    <x v="38"/>
    <x v="38"/>
    <x v="38"/>
    <x v="38"/>
    <x v="38"/>
    <x v="121"/>
    <x v="38"/>
    <x v="38"/>
    <x v="38"/>
    <x v="38"/>
  </r>
  <r>
    <x v="39"/>
    <x v="39"/>
    <x v="39"/>
    <x v="39"/>
    <x v="39"/>
    <x v="40"/>
    <x v="41"/>
    <x v="39"/>
    <x v="121"/>
    <x v="39"/>
    <x v="39"/>
    <x v="39"/>
    <x v="39"/>
  </r>
  <r>
    <x v="40"/>
    <x v="40"/>
    <x v="40"/>
    <x v="40"/>
    <x v="40"/>
    <x v="39"/>
    <x v="39"/>
    <x v="40"/>
    <x v="121"/>
    <x v="40"/>
    <x v="40"/>
    <x v="40"/>
    <x v="40"/>
  </r>
  <r>
    <x v="41"/>
    <x v="41"/>
    <x v="41"/>
    <x v="41"/>
    <x v="41"/>
    <x v="41"/>
    <x v="40"/>
    <x v="41"/>
    <x v="121"/>
    <x v="41"/>
    <x v="41"/>
    <x v="41"/>
    <x v="41"/>
  </r>
  <r>
    <x v="42"/>
    <x v="42"/>
    <x v="42"/>
    <x v="42"/>
    <x v="42"/>
    <x v="42"/>
    <x v="42"/>
    <x v="42"/>
    <x v="121"/>
    <x v="43"/>
    <x v="42"/>
    <x v="43"/>
    <x v="43"/>
  </r>
  <r>
    <x v="43"/>
    <x v="43"/>
    <x v="43"/>
    <x v="43"/>
    <x v="44"/>
    <x v="43"/>
    <x v="43"/>
    <x v="43"/>
    <x v="121"/>
    <x v="42"/>
    <x v="43"/>
    <x v="42"/>
    <x v="44"/>
  </r>
  <r>
    <x v="44"/>
    <x v="45"/>
    <x v="47"/>
    <x v="44"/>
    <x v="47"/>
    <x v="44"/>
    <x v="44"/>
    <x v="44"/>
    <x v="121"/>
    <x v="45"/>
    <x v="47"/>
    <x v="46"/>
    <x v="48"/>
  </r>
  <r>
    <x v="45"/>
    <x v="46"/>
    <x v="45"/>
    <x v="46"/>
    <x v="45"/>
    <x v="45"/>
    <x v="46"/>
    <x v="45"/>
    <x v="121"/>
    <x v="47"/>
    <x v="45"/>
    <x v="45"/>
    <x v="46"/>
  </r>
  <r>
    <x v="46"/>
    <x v="44"/>
    <x v="44"/>
    <x v="45"/>
    <x v="43"/>
    <x v="47"/>
    <x v="45"/>
    <x v="46"/>
    <x v="121"/>
    <x v="44"/>
    <x v="46"/>
    <x v="44"/>
    <x v="42"/>
  </r>
  <r>
    <x v="47"/>
    <x v="47"/>
    <x v="46"/>
    <x v="47"/>
    <x v="46"/>
    <x v="46"/>
    <x v="47"/>
    <x v="47"/>
    <x v="121"/>
    <x v="46"/>
    <x v="44"/>
    <x v="47"/>
    <x v="45"/>
  </r>
  <r>
    <x v="48"/>
    <x v="48"/>
    <x v="48"/>
    <x v="48"/>
    <x v="48"/>
    <x v="50"/>
    <x v="48"/>
    <x v="48"/>
    <x v="121"/>
    <x v="48"/>
    <x v="48"/>
    <x v="48"/>
    <x v="47"/>
  </r>
  <r>
    <x v="49"/>
    <x v="49"/>
    <x v="49"/>
    <x v="49"/>
    <x v="49"/>
    <x v="48"/>
    <x v="49"/>
    <x v="49"/>
    <x v="121"/>
    <x v="49"/>
    <x v="49"/>
    <x v="49"/>
    <x v="49"/>
  </r>
  <r>
    <x v="50"/>
    <x v="50"/>
    <x v="50"/>
    <x v="50"/>
    <x v="52"/>
    <x v="49"/>
    <x v="50"/>
    <x v="51"/>
    <x v="121"/>
    <x v="50"/>
    <x v="50"/>
    <x v="50"/>
    <x v="52"/>
  </r>
  <r>
    <x v="51"/>
    <x v="55"/>
    <x v="55"/>
    <x v="57"/>
    <x v="54"/>
    <x v="57"/>
    <x v="53"/>
    <x v="57"/>
    <x v="121"/>
    <x v="54"/>
    <x v="54"/>
    <x v="52"/>
    <x v="54"/>
  </r>
  <r>
    <x v="52"/>
    <x v="54"/>
    <x v="54"/>
    <x v="56"/>
    <x v="58"/>
    <x v="52"/>
    <x v="52"/>
    <x v="56"/>
    <x v="121"/>
    <x v="53"/>
    <x v="52"/>
    <x v="55"/>
    <x v="56"/>
  </r>
  <r>
    <x v="53"/>
    <x v="53"/>
    <x v="53"/>
    <x v="55"/>
    <x v="59"/>
    <x v="51"/>
    <x v="51"/>
    <x v="53"/>
    <x v="121"/>
    <x v="52"/>
    <x v="55"/>
    <x v="54"/>
    <x v="55"/>
  </r>
  <r>
    <x v="54"/>
    <x v="52"/>
    <x v="52"/>
    <x v="54"/>
    <x v="56"/>
    <x v="56"/>
    <x v="54"/>
    <x v="50"/>
    <x v="121"/>
    <x v="55"/>
    <x v="53"/>
    <x v="53"/>
    <x v="50"/>
  </r>
  <r>
    <x v="55"/>
    <x v="51"/>
    <x v="51"/>
    <x v="51"/>
    <x v="50"/>
    <x v="55"/>
    <x v="57"/>
    <x v="52"/>
    <x v="121"/>
    <x v="51"/>
    <x v="51"/>
    <x v="51"/>
    <x v="51"/>
  </r>
  <r>
    <x v="56"/>
    <x v="56"/>
    <x v="56"/>
    <x v="52"/>
    <x v="51"/>
    <x v="53"/>
    <x v="55"/>
    <x v="55"/>
    <x v="121"/>
    <x v="58"/>
    <x v="56"/>
    <x v="56"/>
    <x v="53"/>
  </r>
  <r>
    <x v="57"/>
    <x v="57"/>
    <x v="57"/>
    <x v="53"/>
    <x v="53"/>
    <x v="54"/>
    <x v="56"/>
    <x v="54"/>
    <x v="121"/>
    <x v="57"/>
    <x v="57"/>
    <x v="57"/>
    <x v="57"/>
  </r>
  <r>
    <x v="58"/>
    <x v="58"/>
    <x v="58"/>
    <x v="58"/>
    <x v="55"/>
    <x v="58"/>
    <x v="58"/>
    <x v="58"/>
    <x v="121"/>
    <x v="56"/>
    <x v="58"/>
    <x v="60"/>
    <x v="58"/>
  </r>
  <r>
    <x v="59"/>
    <x v="59"/>
    <x v="59"/>
    <x v="59"/>
    <x v="57"/>
    <x v="59"/>
    <x v="59"/>
    <x v="59"/>
    <x v="121"/>
    <x v="59"/>
    <x v="59"/>
    <x v="58"/>
    <x v="59"/>
  </r>
  <r>
    <x v="60"/>
    <x v="60"/>
    <x v="60"/>
    <x v="60"/>
    <x v="60"/>
    <x v="60"/>
    <x v="60"/>
    <x v="60"/>
    <x v="121"/>
    <x v="60"/>
    <x v="60"/>
    <x v="59"/>
    <x v="60"/>
  </r>
  <r>
    <x v="61"/>
    <x v="61"/>
    <x v="61"/>
    <x v="61"/>
    <x v="62"/>
    <x v="61"/>
    <x v="61"/>
    <x v="61"/>
    <x v="121"/>
    <x v="61"/>
    <x v="64"/>
    <x v="61"/>
    <x v="61"/>
  </r>
  <r>
    <x v="62"/>
    <x v="62"/>
    <x v="62"/>
    <x v="62"/>
    <x v="61"/>
    <x v="64"/>
    <x v="62"/>
    <x v="65"/>
    <x v="121"/>
    <x v="62"/>
    <x v="62"/>
    <x v="62"/>
    <x v="62"/>
  </r>
  <r>
    <x v="63"/>
    <x v="63"/>
    <x v="63"/>
    <x v="68"/>
    <x v="63"/>
    <x v="70"/>
    <x v="66"/>
    <x v="70"/>
    <x v="121"/>
    <x v="64"/>
    <x v="61"/>
    <x v="63"/>
    <x v="63"/>
  </r>
  <r>
    <x v="64"/>
    <x v="65"/>
    <x v="64"/>
    <x v="65"/>
    <x v="65"/>
    <x v="62"/>
    <x v="67"/>
    <x v="69"/>
    <x v="121"/>
    <x v="66"/>
    <x v="63"/>
    <x v="64"/>
    <x v="64"/>
  </r>
  <r>
    <x v="65"/>
    <x v="64"/>
    <x v="65"/>
    <x v="64"/>
    <x v="67"/>
    <x v="65"/>
    <x v="64"/>
    <x v="62"/>
    <x v="121"/>
    <x v="63"/>
    <x v="67"/>
    <x v="65"/>
    <x v="66"/>
  </r>
  <r>
    <x v="66"/>
    <x v="66"/>
    <x v="67"/>
    <x v="63"/>
    <x v="64"/>
    <x v="63"/>
    <x v="63"/>
    <x v="63"/>
    <x v="121"/>
    <x v="65"/>
    <x v="65"/>
    <x v="66"/>
    <x v="67"/>
  </r>
  <r>
    <x v="67"/>
    <x v="67"/>
    <x v="66"/>
    <x v="67"/>
    <x v="66"/>
    <x v="67"/>
    <x v="65"/>
    <x v="67"/>
    <x v="121"/>
    <x v="67"/>
    <x v="66"/>
    <x v="67"/>
    <x v="65"/>
  </r>
  <r>
    <x v="68"/>
    <x v="68"/>
    <x v="68"/>
    <x v="66"/>
    <x v="68"/>
    <x v="66"/>
    <x v="68"/>
    <x v="66"/>
    <x v="121"/>
    <x v="68"/>
    <x v="69"/>
    <x v="68"/>
    <x v="68"/>
  </r>
  <r>
    <x v="69"/>
    <x v="69"/>
    <x v="69"/>
    <x v="69"/>
    <x v="69"/>
    <x v="69"/>
    <x v="69"/>
    <x v="64"/>
    <x v="121"/>
    <x v="70"/>
    <x v="68"/>
    <x v="69"/>
    <x v="69"/>
  </r>
  <r>
    <x v="70"/>
    <x v="70"/>
    <x v="70"/>
    <x v="70"/>
    <x v="70"/>
    <x v="68"/>
    <x v="70"/>
    <x v="68"/>
    <x v="121"/>
    <x v="69"/>
    <x v="70"/>
    <x v="70"/>
    <x v="70"/>
  </r>
  <r>
    <x v="71"/>
    <x v="71"/>
    <x v="71"/>
    <x v="71"/>
    <x v="71"/>
    <x v="71"/>
    <x v="71"/>
    <x v="71"/>
    <x v="121"/>
    <x v="71"/>
    <x v="71"/>
    <x v="71"/>
    <x v="71"/>
  </r>
  <r>
    <x v="72"/>
    <x v="72"/>
    <x v="72"/>
    <x v="72"/>
    <x v="72"/>
    <x v="72"/>
    <x v="72"/>
    <x v="72"/>
    <x v="121"/>
    <x v="72"/>
    <x v="72"/>
    <x v="72"/>
    <x v="72"/>
  </r>
  <r>
    <x v="73"/>
    <x v="73"/>
    <x v="73"/>
    <x v="73"/>
    <x v="74"/>
    <x v="73"/>
    <x v="73"/>
    <x v="73"/>
    <x v="121"/>
    <x v="73"/>
    <x v="73"/>
    <x v="73"/>
    <x v="73"/>
  </r>
  <r>
    <x v="74"/>
    <x v="74"/>
    <x v="74"/>
    <x v="74"/>
    <x v="73"/>
    <x v="74"/>
    <x v="74"/>
    <x v="74"/>
    <x v="121"/>
    <x v="74"/>
    <x v="74"/>
    <x v="74"/>
    <x v="74"/>
  </r>
  <r>
    <x v="75"/>
    <x v="75"/>
    <x v="75"/>
    <x v="75"/>
    <x v="76"/>
    <x v="76"/>
    <x v="75"/>
    <x v="77"/>
    <x v="121"/>
    <x v="75"/>
    <x v="75"/>
    <x v="75"/>
    <x v="76"/>
  </r>
  <r>
    <x v="76"/>
    <x v="76"/>
    <x v="76"/>
    <x v="76"/>
    <x v="75"/>
    <x v="77"/>
    <x v="77"/>
    <x v="78"/>
    <x v="121"/>
    <x v="77"/>
    <x v="76"/>
    <x v="76"/>
    <x v="75"/>
  </r>
  <r>
    <x v="77"/>
    <x v="77"/>
    <x v="77"/>
    <x v="77"/>
    <x v="78"/>
    <x v="75"/>
    <x v="80"/>
    <x v="75"/>
    <x v="121"/>
    <x v="76"/>
    <x v="77"/>
    <x v="77"/>
    <x v="77"/>
  </r>
  <r>
    <x v="78"/>
    <x v="78"/>
    <x v="78"/>
    <x v="78"/>
    <x v="77"/>
    <x v="78"/>
    <x v="78"/>
    <x v="76"/>
    <x v="121"/>
    <x v="78"/>
    <x v="78"/>
    <x v="78"/>
    <x v="78"/>
  </r>
  <r>
    <x v="79"/>
    <x v="79"/>
    <x v="79"/>
    <x v="79"/>
    <x v="79"/>
    <x v="79"/>
    <x v="81"/>
    <x v="79"/>
    <x v="121"/>
    <x v="79"/>
    <x v="79"/>
    <x v="79"/>
    <x v="79"/>
  </r>
  <r>
    <x v="80"/>
    <x v="80"/>
    <x v="80"/>
    <x v="80"/>
    <x v="81"/>
    <x v="80"/>
    <x v="76"/>
    <x v="80"/>
    <x v="121"/>
    <x v="80"/>
    <x v="80"/>
    <x v="80"/>
    <x v="82"/>
  </r>
  <r>
    <x v="81"/>
    <x v="81"/>
    <x v="82"/>
    <x v="81"/>
    <x v="80"/>
    <x v="81"/>
    <x v="79"/>
    <x v="81"/>
    <x v="121"/>
    <x v="82"/>
    <x v="81"/>
    <x v="82"/>
    <x v="80"/>
  </r>
  <r>
    <x v="82"/>
    <x v="82"/>
    <x v="81"/>
    <x v="82"/>
    <x v="84"/>
    <x v="82"/>
    <x v="82"/>
    <x v="82"/>
    <x v="121"/>
    <x v="81"/>
    <x v="82"/>
    <x v="81"/>
    <x v="81"/>
  </r>
  <r>
    <x v="83"/>
    <x v="83"/>
    <x v="83"/>
    <x v="83"/>
    <x v="82"/>
    <x v="83"/>
    <x v="83"/>
    <x v="83"/>
    <x v="121"/>
    <x v="83"/>
    <x v="83"/>
    <x v="83"/>
    <x v="83"/>
  </r>
  <r>
    <x v="84"/>
    <x v="84"/>
    <x v="84"/>
    <x v="84"/>
    <x v="83"/>
    <x v="84"/>
    <x v="84"/>
    <x v="84"/>
    <x v="121"/>
    <x v="84"/>
    <x v="84"/>
    <x v="84"/>
    <x v="84"/>
  </r>
  <r>
    <x v="85"/>
    <x v="85"/>
    <x v="85"/>
    <x v="85"/>
    <x v="85"/>
    <x v="85"/>
    <x v="85"/>
    <x v="85"/>
    <x v="121"/>
    <x v="85"/>
    <x v="85"/>
    <x v="87"/>
    <x v="85"/>
  </r>
  <r>
    <x v="86"/>
    <x v="87"/>
    <x v="89"/>
    <x v="86"/>
    <x v="86"/>
    <x v="89"/>
    <x v="86"/>
    <x v="87"/>
    <x v="121"/>
    <x v="87"/>
    <x v="90"/>
    <x v="91"/>
    <x v="90"/>
  </r>
  <r>
    <x v="87"/>
    <x v="89"/>
    <x v="87"/>
    <x v="90"/>
    <x v="88"/>
    <x v="91"/>
    <x v="89"/>
    <x v="91"/>
    <x v="121"/>
    <x v="88"/>
    <x v="89"/>
    <x v="88"/>
    <x v="87"/>
  </r>
  <r>
    <x v="88"/>
    <x v="86"/>
    <x v="86"/>
    <x v="88"/>
    <x v="87"/>
    <x v="88"/>
    <x v="90"/>
    <x v="89"/>
    <x v="121"/>
    <x v="86"/>
    <x v="87"/>
    <x v="86"/>
    <x v="86"/>
  </r>
  <r>
    <x v="89"/>
    <x v="88"/>
    <x v="88"/>
    <x v="87"/>
    <x v="89"/>
    <x v="90"/>
    <x v="87"/>
    <x v="86"/>
    <x v="121"/>
    <x v="89"/>
    <x v="86"/>
    <x v="85"/>
    <x v="91"/>
  </r>
  <r>
    <x v="90"/>
    <x v="90"/>
    <x v="90"/>
    <x v="89"/>
    <x v="90"/>
    <x v="86"/>
    <x v="88"/>
    <x v="88"/>
    <x v="121"/>
    <x v="90"/>
    <x v="88"/>
    <x v="89"/>
    <x v="89"/>
  </r>
  <r>
    <x v="91"/>
    <x v="91"/>
    <x v="91"/>
    <x v="91"/>
    <x v="91"/>
    <x v="87"/>
    <x v="91"/>
    <x v="90"/>
    <x v="121"/>
    <x v="91"/>
    <x v="91"/>
    <x v="90"/>
    <x v="88"/>
  </r>
  <r>
    <x v="92"/>
    <x v="92"/>
    <x v="93"/>
    <x v="93"/>
    <x v="95"/>
    <x v="95"/>
    <x v="94"/>
    <x v="92"/>
    <x v="121"/>
    <x v="96"/>
    <x v="92"/>
    <x v="92"/>
    <x v="92"/>
  </r>
  <r>
    <x v="93"/>
    <x v="94"/>
    <x v="95"/>
    <x v="92"/>
    <x v="92"/>
    <x v="92"/>
    <x v="96"/>
    <x v="93"/>
    <x v="121"/>
    <x v="94"/>
    <x v="95"/>
    <x v="93"/>
    <x v="97"/>
  </r>
  <r>
    <x v="94"/>
    <x v="95"/>
    <x v="94"/>
    <x v="95"/>
    <x v="94"/>
    <x v="94"/>
    <x v="93"/>
    <x v="98"/>
    <x v="121"/>
    <x v="93"/>
    <x v="96"/>
    <x v="94"/>
    <x v="93"/>
  </r>
  <r>
    <x v="95"/>
    <x v="93"/>
    <x v="92"/>
    <x v="94"/>
    <x v="93"/>
    <x v="93"/>
    <x v="92"/>
    <x v="96"/>
    <x v="121"/>
    <x v="92"/>
    <x v="93"/>
    <x v="95"/>
    <x v="96"/>
  </r>
  <r>
    <x v="96"/>
    <x v="96"/>
    <x v="96"/>
    <x v="96"/>
    <x v="96"/>
    <x v="97"/>
    <x v="95"/>
    <x v="101"/>
    <x v="121"/>
    <x v="95"/>
    <x v="94"/>
    <x v="96"/>
    <x v="98"/>
  </r>
  <r>
    <x v="97"/>
    <x v="97"/>
    <x v="97"/>
    <x v="98"/>
    <x v="98"/>
    <x v="104"/>
    <x v="97"/>
    <x v="97"/>
    <x v="121"/>
    <x v="97"/>
    <x v="97"/>
    <x v="97"/>
    <x v="94"/>
  </r>
  <r>
    <x v="98"/>
    <x v="102"/>
    <x v="101"/>
    <x v="101"/>
    <x v="99"/>
    <x v="106"/>
    <x v="98"/>
    <x v="104"/>
    <x v="121"/>
    <x v="101"/>
    <x v="99"/>
    <x v="98"/>
    <x v="103"/>
  </r>
  <r>
    <x v="99"/>
    <x v="103"/>
    <x v="100"/>
    <x v="105"/>
    <x v="104"/>
    <x v="109"/>
    <x v="102"/>
    <x v="100"/>
    <x v="121"/>
    <x v="100"/>
    <x v="100"/>
    <x v="99"/>
    <x v="102"/>
  </r>
  <r>
    <x v="100"/>
    <x v="100"/>
    <x v="99"/>
    <x v="103"/>
    <x v="102"/>
    <x v="105"/>
    <x v="101"/>
    <x v="99"/>
    <x v="121"/>
    <x v="99"/>
    <x v="103"/>
    <x v="100"/>
    <x v="99"/>
  </r>
  <r>
    <x v="101"/>
    <x v="99"/>
    <x v="98"/>
    <x v="99"/>
    <x v="101"/>
    <x v="102"/>
    <x v="99"/>
    <x v="95"/>
    <x v="121"/>
    <x v="98"/>
    <x v="102"/>
    <x v="102"/>
    <x v="100"/>
  </r>
  <r>
    <x v="102"/>
    <x v="98"/>
    <x v="102"/>
    <x v="97"/>
    <x v="97"/>
    <x v="99"/>
    <x v="100"/>
    <x v="94"/>
    <x v="121"/>
    <x v="103"/>
    <x v="98"/>
    <x v="103"/>
    <x v="95"/>
  </r>
  <r>
    <x v="103"/>
    <x v="101"/>
    <x v="103"/>
    <x v="100"/>
    <x v="100"/>
    <x v="96"/>
    <x v="103"/>
    <x v="102"/>
    <x v="121"/>
    <x v="102"/>
    <x v="101"/>
    <x v="101"/>
    <x v="101"/>
  </r>
  <r>
    <x v="104"/>
    <x v="104"/>
    <x v="104"/>
    <x v="102"/>
    <x v="103"/>
    <x v="100"/>
    <x v="104"/>
    <x v="103"/>
    <x v="121"/>
    <x v="104"/>
    <x v="104"/>
    <x v="104"/>
    <x v="104"/>
  </r>
  <r>
    <x v="105"/>
    <x v="105"/>
    <x v="105"/>
    <x v="104"/>
    <x v="105"/>
    <x v="98"/>
    <x v="105"/>
    <x v="105"/>
    <x v="121"/>
    <x v="105"/>
    <x v="105"/>
    <x v="106"/>
    <x v="106"/>
  </r>
  <r>
    <x v="106"/>
    <x v="106"/>
    <x v="106"/>
    <x v="106"/>
    <x v="106"/>
    <x v="101"/>
    <x v="106"/>
    <x v="106"/>
    <x v="121"/>
    <x v="106"/>
    <x v="106"/>
    <x v="107"/>
    <x v="105"/>
  </r>
  <r>
    <x v="107"/>
    <x v="107"/>
    <x v="107"/>
    <x v="107"/>
    <x v="107"/>
    <x v="103"/>
    <x v="107"/>
    <x v="107"/>
    <x v="121"/>
    <x v="107"/>
    <x v="107"/>
    <x v="105"/>
    <x v="107"/>
  </r>
  <r>
    <x v="108"/>
    <x v="108"/>
    <x v="108"/>
    <x v="108"/>
    <x v="109"/>
    <x v="107"/>
    <x v="108"/>
    <x v="108"/>
    <x v="121"/>
    <x v="108"/>
    <x v="108"/>
    <x v="108"/>
    <x v="108"/>
  </r>
  <r>
    <x v="109"/>
    <x v="109"/>
    <x v="109"/>
    <x v="109"/>
    <x v="108"/>
    <x v="108"/>
    <x v="109"/>
    <x v="109"/>
    <x v="121"/>
    <x v="109"/>
    <x v="109"/>
    <x v="109"/>
    <x v="109"/>
  </r>
  <r>
    <x v="110"/>
    <x v="110"/>
    <x v="110"/>
    <x v="110"/>
    <x v="110"/>
    <x v="111"/>
    <x v="114"/>
    <x v="113"/>
    <x v="121"/>
    <x v="110"/>
    <x v="110"/>
    <x v="110"/>
    <x v="110"/>
  </r>
  <r>
    <x v="111"/>
    <x v="112"/>
    <x v="112"/>
    <x v="112"/>
    <x v="111"/>
    <x v="116"/>
    <x v="113"/>
    <x v="116"/>
    <x v="121"/>
    <x v="112"/>
    <x v="112"/>
    <x v="112"/>
    <x v="114"/>
  </r>
  <r>
    <x v="112"/>
    <x v="111"/>
    <x v="111"/>
    <x v="113"/>
    <x v="112"/>
    <x v="117"/>
    <x v="112"/>
    <x v="111"/>
    <x v="121"/>
    <x v="111"/>
    <x v="113"/>
    <x v="111"/>
    <x v="111"/>
  </r>
  <r>
    <x v="113"/>
    <x v="113"/>
    <x v="113"/>
    <x v="111"/>
    <x v="113"/>
    <x v="110"/>
    <x v="110"/>
    <x v="110"/>
    <x v="121"/>
    <x v="113"/>
    <x v="111"/>
    <x v="113"/>
    <x v="112"/>
  </r>
  <r>
    <x v="114"/>
    <x v="114"/>
    <x v="114"/>
    <x v="114"/>
    <x v="114"/>
    <x v="112"/>
    <x v="111"/>
    <x v="115"/>
    <x v="121"/>
    <x v="114"/>
    <x v="114"/>
    <x v="114"/>
    <x v="113"/>
  </r>
  <r>
    <x v="115"/>
    <x v="115"/>
    <x v="115"/>
    <x v="115"/>
    <x v="115"/>
    <x v="113"/>
    <x v="115"/>
    <x v="117"/>
    <x v="121"/>
    <x v="115"/>
    <x v="115"/>
    <x v="115"/>
    <x v="115"/>
  </r>
  <r>
    <x v="116"/>
    <x v="116"/>
    <x v="116"/>
    <x v="116"/>
    <x v="118"/>
    <x v="114"/>
    <x v="116"/>
    <x v="112"/>
    <x v="121"/>
    <x v="116"/>
    <x v="116"/>
    <x v="116"/>
    <x v="116"/>
  </r>
  <r>
    <x v="117"/>
    <x v="117"/>
    <x v="117"/>
    <x v="117"/>
    <x v="117"/>
    <x v="115"/>
    <x v="117"/>
    <x v="114"/>
    <x v="121"/>
    <x v="117"/>
    <x v="117"/>
    <x v="117"/>
    <x v="119"/>
  </r>
  <r>
    <x v="118"/>
    <x v="118"/>
    <x v="118"/>
    <x v="118"/>
    <x v="116"/>
    <x v="118"/>
    <x v="118"/>
    <x v="119"/>
    <x v="121"/>
    <x v="118"/>
    <x v="119"/>
    <x v="118"/>
    <x v="117"/>
  </r>
  <r>
    <x v="119"/>
    <x v="119"/>
    <x v="119"/>
    <x v="119"/>
    <x v="119"/>
    <x v="119"/>
    <x v="119"/>
    <x v="118"/>
    <x v="121"/>
    <x v="119"/>
    <x v="118"/>
    <x v="119"/>
    <x v="118"/>
  </r>
  <r>
    <x v="120"/>
    <x v="120"/>
    <x v="120"/>
    <x v="120"/>
    <x v="120"/>
    <x v="120"/>
    <x v="120"/>
    <x v="120"/>
    <x v="0"/>
    <x v="120"/>
    <x v="120"/>
    <x v="120"/>
    <x v="120"/>
  </r>
  <r>
    <x v="121"/>
    <x v="121"/>
    <x v="121"/>
    <x v="121"/>
    <x v="121"/>
    <x v="121"/>
    <x v="121"/>
    <x v="123"/>
    <x v="1"/>
    <x v="121"/>
    <x v="121"/>
    <x v="121"/>
    <x v="121"/>
  </r>
  <r>
    <x v="122"/>
    <x v="122"/>
    <x v="122"/>
    <x v="122"/>
    <x v="122"/>
    <x v="122"/>
    <x v="122"/>
    <x v="128"/>
    <x v="3"/>
    <x v="122"/>
    <x v="122"/>
    <x v="122"/>
    <x v="122"/>
  </r>
  <r>
    <x v="123"/>
    <x v="123"/>
    <x v="123"/>
    <x v="123"/>
    <x v="123"/>
    <x v="123"/>
    <x v="123"/>
    <x v="135"/>
    <x v="11"/>
    <x v="123"/>
    <x v="124"/>
    <x v="123"/>
    <x v="123"/>
  </r>
  <r>
    <x v="124"/>
    <x v="124"/>
    <x v="124"/>
    <x v="124"/>
    <x v="124"/>
    <x v="124"/>
    <x v="124"/>
    <x v="134"/>
    <x v="12"/>
    <x v="124"/>
    <x v="130"/>
    <x v="124"/>
    <x v="124"/>
  </r>
  <r>
    <x v="125"/>
    <x v="127"/>
    <x v="127"/>
    <x v="129"/>
    <x v="130"/>
    <x v="125"/>
    <x v="126"/>
    <x v="149"/>
    <x v="21"/>
    <x v="127"/>
    <x v="128"/>
    <x v="125"/>
    <x v="127"/>
  </r>
  <r>
    <x v="126"/>
    <x v="126"/>
    <x v="125"/>
    <x v="130"/>
    <x v="128"/>
    <x v="126"/>
    <x v="130"/>
    <x v="151"/>
    <x v="18"/>
    <x v="126"/>
    <x v="123"/>
    <x v="126"/>
    <x v="125"/>
  </r>
  <r>
    <x v="127"/>
    <x v="125"/>
    <x v="126"/>
    <x v="125"/>
    <x v="125"/>
    <x v="128"/>
    <x v="129"/>
    <x v="145"/>
    <x v="16"/>
    <x v="125"/>
    <x v="145"/>
    <x v="128"/>
    <x v="126"/>
  </r>
  <r>
    <x v="128"/>
    <x v="129"/>
    <x v="129"/>
    <x v="131"/>
    <x v="132"/>
    <x v="137"/>
    <x v="128"/>
    <x v="140"/>
    <x v="20"/>
    <x v="129"/>
    <x v="150"/>
    <x v="127"/>
    <x v="128"/>
  </r>
  <r>
    <x v="129"/>
    <x v="128"/>
    <x v="128"/>
    <x v="127"/>
    <x v="127"/>
    <x v="134"/>
    <x v="125"/>
    <x v="138"/>
    <x v="15"/>
    <x v="128"/>
    <x v="153"/>
    <x v="129"/>
    <x v="130"/>
  </r>
  <r>
    <x v="130"/>
    <x v="130"/>
    <x v="130"/>
    <x v="126"/>
    <x v="126"/>
    <x v="136"/>
    <x v="127"/>
    <x v="141"/>
    <x v="19"/>
    <x v="130"/>
    <x v="166"/>
    <x v="130"/>
    <x v="129"/>
  </r>
  <r>
    <x v="131"/>
    <x v="131"/>
    <x v="132"/>
    <x v="128"/>
    <x v="129"/>
    <x v="133"/>
    <x v="131"/>
    <x v="137"/>
    <x v="17"/>
    <x v="131"/>
    <x v="158"/>
    <x v="132"/>
    <x v="135"/>
  </r>
  <r>
    <x v="132"/>
    <x v="136"/>
    <x v="138"/>
    <x v="132"/>
    <x v="131"/>
    <x v="149"/>
    <x v="132"/>
    <x v="171"/>
    <x v="34"/>
    <x v="137"/>
    <x v="188"/>
    <x v="133"/>
    <x v="146"/>
  </r>
  <r>
    <x v="133"/>
    <x v="139"/>
    <x v="140"/>
    <x v="137"/>
    <x v="133"/>
    <x v="159"/>
    <x v="133"/>
    <x v="176"/>
    <x v="43"/>
    <x v="138"/>
    <x v="193"/>
    <x v="131"/>
    <x v="173"/>
  </r>
  <r>
    <x v="134"/>
    <x v="142"/>
    <x v="141"/>
    <x v="143"/>
    <x v="134"/>
    <x v="170"/>
    <x v="134"/>
    <x v="160"/>
    <x v="42"/>
    <x v="139"/>
    <x v="196"/>
    <x v="137"/>
    <x v="157"/>
  </r>
  <r>
    <x v="135"/>
    <x v="148"/>
    <x v="143"/>
    <x v="159"/>
    <x v="151"/>
    <x v="185"/>
    <x v="150"/>
    <x v="189"/>
    <x v="37"/>
    <x v="145"/>
    <x v="191"/>
    <x v="134"/>
    <x v="143"/>
  </r>
  <r>
    <x v="136"/>
    <x v="151"/>
    <x v="148"/>
    <x v="155"/>
    <x v="145"/>
    <x v="195"/>
    <x v="163"/>
    <x v="188"/>
    <x v="32"/>
    <x v="148"/>
    <x v="180"/>
    <x v="143"/>
    <x v="175"/>
  </r>
  <r>
    <x v="137"/>
    <x v="173"/>
    <x v="162"/>
    <x v="186"/>
    <x v="177"/>
    <x v="200"/>
    <x v="172"/>
    <x v="193"/>
    <x v="47"/>
    <x v="165"/>
    <x v="189"/>
    <x v="142"/>
    <x v="162"/>
  </r>
  <r>
    <x v="138"/>
    <x v="169"/>
    <x v="165"/>
    <x v="176"/>
    <x v="160"/>
    <x v="188"/>
    <x v="185"/>
    <x v="191"/>
    <x v="54"/>
    <x v="169"/>
    <x v="190"/>
    <x v="141"/>
    <x v="158"/>
  </r>
  <r>
    <x v="139"/>
    <x v="157"/>
    <x v="149"/>
    <x v="165"/>
    <x v="161"/>
    <x v="186"/>
    <x v="175"/>
    <x v="172"/>
    <x v="39"/>
    <x v="158"/>
    <x v="184"/>
    <x v="140"/>
    <x v="145"/>
  </r>
  <r>
    <x v="140"/>
    <x v="166"/>
    <x v="161"/>
    <x v="178"/>
    <x v="172"/>
    <x v="199"/>
    <x v="174"/>
    <x v="179"/>
    <x v="50"/>
    <x v="160"/>
    <x v="185"/>
    <x v="166"/>
    <x v="154"/>
  </r>
  <r>
    <x v="141"/>
    <x v="159"/>
    <x v="156"/>
    <x v="171"/>
    <x v="165"/>
    <x v="198"/>
    <x v="173"/>
    <x v="166"/>
    <x v="58"/>
    <x v="156"/>
    <x v="183"/>
    <x v="165"/>
    <x v="147"/>
  </r>
  <r>
    <x v="142"/>
    <x v="152"/>
    <x v="150"/>
    <x v="153"/>
    <x v="149"/>
    <x v="205"/>
    <x v="164"/>
    <x v="153"/>
    <x v="55"/>
    <x v="154"/>
    <x v="174"/>
    <x v="150"/>
    <x v="148"/>
  </r>
  <r>
    <x v="143"/>
    <x v="161"/>
    <x v="164"/>
    <x v="164"/>
    <x v="150"/>
    <x v="203"/>
    <x v="189"/>
    <x v="186"/>
    <x v="64"/>
    <x v="163"/>
    <x v="167"/>
    <x v="153"/>
    <x v="183"/>
  </r>
  <r>
    <x v="144"/>
    <x v="170"/>
    <x v="166"/>
    <x v="175"/>
    <x v="163"/>
    <x v="197"/>
    <x v="191"/>
    <x v="183"/>
    <x v="72"/>
    <x v="159"/>
    <x v="163"/>
    <x v="169"/>
    <x v="193"/>
  </r>
  <r>
    <x v="145"/>
    <x v="187"/>
    <x v="168"/>
    <x v="193"/>
    <x v="188"/>
    <x v="206"/>
    <x v="196"/>
    <x v="182"/>
    <x v="76"/>
    <x v="162"/>
    <x v="165"/>
    <x v="174"/>
    <x v="198"/>
  </r>
  <r>
    <x v="146"/>
    <x v="194"/>
    <x v="172"/>
    <x v="197"/>
    <x v="194"/>
    <x v="201"/>
    <x v="187"/>
    <x v="187"/>
    <x v="79"/>
    <x v="161"/>
    <x v="187"/>
    <x v="182"/>
    <x v="201"/>
  </r>
  <r>
    <x v="147"/>
    <x v="198"/>
    <x v="181"/>
    <x v="202"/>
    <x v="200"/>
    <x v="208"/>
    <x v="198"/>
    <x v="203"/>
    <x v="82"/>
    <x v="166"/>
    <x v="197"/>
    <x v="183"/>
    <x v="200"/>
  </r>
  <r>
    <x v="148"/>
    <x v="199"/>
    <x v="191"/>
    <x v="201"/>
    <x v="201"/>
    <x v="204"/>
    <x v="195"/>
    <x v="200"/>
    <x v="83"/>
    <x v="176"/>
    <x v="194"/>
    <x v="192"/>
    <x v="203"/>
  </r>
  <r>
    <x v="149"/>
    <x v="190"/>
    <x v="169"/>
    <x v="194"/>
    <x v="187"/>
    <x v="191"/>
    <x v="168"/>
    <x v="196"/>
    <x v="77"/>
    <x v="164"/>
    <x v="177"/>
    <x v="177"/>
    <x v="189"/>
  </r>
  <r>
    <x v="150"/>
    <x v="174"/>
    <x v="159"/>
    <x v="189"/>
    <x v="182"/>
    <x v="183"/>
    <x v="188"/>
    <x v="198"/>
    <x v="68"/>
    <x v="149"/>
    <x v="175"/>
    <x v="168"/>
    <x v="191"/>
  </r>
  <r>
    <x v="151"/>
    <x v="175"/>
    <x v="160"/>
    <x v="191"/>
    <x v="186"/>
    <x v="182"/>
    <x v="167"/>
    <x v="201"/>
    <x v="62"/>
    <x v="155"/>
    <x v="171"/>
    <x v="151"/>
    <x v="186"/>
  </r>
  <r>
    <x v="152"/>
    <x v="164"/>
    <x v="157"/>
    <x v="177"/>
    <x v="171"/>
    <x v="177"/>
    <x v="146"/>
    <x v="194"/>
    <x v="36"/>
    <x v="152"/>
    <x v="178"/>
    <x v="157"/>
    <x v="188"/>
  </r>
  <r>
    <x v="153"/>
    <x v="156"/>
    <x v="154"/>
    <x v="160"/>
    <x v="154"/>
    <x v="173"/>
    <x v="142"/>
    <x v="190"/>
    <x v="25"/>
    <x v="150"/>
    <x v="173"/>
    <x v="154"/>
    <x v="182"/>
  </r>
  <r>
    <x v="154"/>
    <x v="145"/>
    <x v="147"/>
    <x v="145"/>
    <x v="141"/>
    <x v="155"/>
    <x v="147"/>
    <x v="156"/>
    <x v="29"/>
    <x v="147"/>
    <x v="148"/>
    <x v="156"/>
    <x v="163"/>
  </r>
  <r>
    <x v="155"/>
    <x v="150"/>
    <x v="152"/>
    <x v="149"/>
    <x v="146"/>
    <x v="160"/>
    <x v="149"/>
    <x v="177"/>
    <x v="44"/>
    <x v="153"/>
    <x v="149"/>
    <x v="148"/>
    <x v="179"/>
  </r>
  <r>
    <x v="156"/>
    <x v="160"/>
    <x v="171"/>
    <x v="154"/>
    <x v="144"/>
    <x v="187"/>
    <x v="193"/>
    <x v="181"/>
    <x v="69"/>
    <x v="175"/>
    <x v="154"/>
    <x v="164"/>
    <x v="172"/>
  </r>
  <r>
    <x v="157"/>
    <x v="172"/>
    <x v="186"/>
    <x v="163"/>
    <x v="155"/>
    <x v="184"/>
    <x v="178"/>
    <x v="175"/>
    <x v="73"/>
    <x v="183"/>
    <x v="172"/>
    <x v="171"/>
    <x v="190"/>
  </r>
  <r>
    <x v="158"/>
    <x v="177"/>
    <x v="187"/>
    <x v="173"/>
    <x v="153"/>
    <x v="193"/>
    <x v="192"/>
    <x v="195"/>
    <x v="40"/>
    <x v="185"/>
    <x v="169"/>
    <x v="178"/>
    <x v="197"/>
  </r>
  <r>
    <x v="159"/>
    <x v="167"/>
    <x v="175"/>
    <x v="162"/>
    <x v="162"/>
    <x v="196"/>
    <x v="140"/>
    <x v="161"/>
    <x v="52"/>
    <x v="182"/>
    <x v="152"/>
    <x v="162"/>
    <x v="166"/>
  </r>
  <r>
    <x v="160"/>
    <x v="155"/>
    <x v="158"/>
    <x v="156"/>
    <x v="156"/>
    <x v="174"/>
    <x v="138"/>
    <x v="167"/>
    <x v="53"/>
    <x v="168"/>
    <x v="157"/>
    <x v="152"/>
    <x v="144"/>
  </r>
  <r>
    <x v="161"/>
    <x v="144"/>
    <x v="153"/>
    <x v="142"/>
    <x v="138"/>
    <x v="153"/>
    <x v="135"/>
    <x v="136"/>
    <x v="28"/>
    <x v="171"/>
    <x v="134"/>
    <x v="144"/>
    <x v="136"/>
  </r>
  <r>
    <x v="162"/>
    <x v="143"/>
    <x v="155"/>
    <x v="141"/>
    <x v="135"/>
    <x v="144"/>
    <x v="137"/>
    <x v="143"/>
    <x v="30"/>
    <x v="172"/>
    <x v="132"/>
    <x v="147"/>
    <x v="140"/>
  </r>
  <r>
    <x v="163"/>
    <x v="154"/>
    <x v="163"/>
    <x v="152"/>
    <x v="152"/>
    <x v="167"/>
    <x v="136"/>
    <x v="157"/>
    <x v="59"/>
    <x v="173"/>
    <x v="131"/>
    <x v="167"/>
    <x v="141"/>
  </r>
  <r>
    <x v="164"/>
    <x v="185"/>
    <x v="189"/>
    <x v="180"/>
    <x v="167"/>
    <x v="190"/>
    <x v="139"/>
    <x v="185"/>
    <x v="80"/>
    <x v="195"/>
    <x v="155"/>
    <x v="155"/>
    <x v="178"/>
  </r>
  <r>
    <x v="165"/>
    <x v="180"/>
    <x v="185"/>
    <x v="174"/>
    <x v="178"/>
    <x v="179"/>
    <x v="143"/>
    <x v="154"/>
    <x v="75"/>
    <x v="193"/>
    <x v="147"/>
    <x v="161"/>
    <x v="165"/>
  </r>
  <r>
    <x v="166"/>
    <x v="158"/>
    <x v="174"/>
    <x v="151"/>
    <x v="157"/>
    <x v="169"/>
    <x v="141"/>
    <x v="142"/>
    <x v="49"/>
    <x v="180"/>
    <x v="156"/>
    <x v="159"/>
    <x v="170"/>
  </r>
  <r>
    <x v="167"/>
    <x v="165"/>
    <x v="170"/>
    <x v="167"/>
    <x v="173"/>
    <x v="166"/>
    <x v="148"/>
    <x v="152"/>
    <x v="45"/>
    <x v="179"/>
    <x v="138"/>
    <x v="170"/>
    <x v="151"/>
  </r>
  <r>
    <x v="168"/>
    <x v="195"/>
    <x v="198"/>
    <x v="188"/>
    <x v="189"/>
    <x v="181"/>
    <x v="183"/>
    <x v="178"/>
    <x v="74"/>
    <x v="200"/>
    <x v="179"/>
    <x v="194"/>
    <x v="185"/>
  </r>
  <r>
    <x v="169"/>
    <x v="188"/>
    <x v="190"/>
    <x v="182"/>
    <x v="179"/>
    <x v="178"/>
    <x v="182"/>
    <x v="180"/>
    <x v="63"/>
    <x v="192"/>
    <x v="159"/>
    <x v="187"/>
    <x v="176"/>
  </r>
  <r>
    <x v="170"/>
    <x v="171"/>
    <x v="173"/>
    <x v="169"/>
    <x v="170"/>
    <x v="152"/>
    <x v="170"/>
    <x v="165"/>
    <x v="48"/>
    <x v="177"/>
    <x v="151"/>
    <x v="175"/>
    <x v="153"/>
  </r>
  <r>
    <x v="171"/>
    <x v="184"/>
    <x v="178"/>
    <x v="185"/>
    <x v="184"/>
    <x v="164"/>
    <x v="184"/>
    <x v="184"/>
    <x v="60"/>
    <x v="187"/>
    <x v="144"/>
    <x v="179"/>
    <x v="156"/>
  </r>
  <r>
    <x v="172"/>
    <x v="183"/>
    <x v="176"/>
    <x v="184"/>
    <x v="191"/>
    <x v="163"/>
    <x v="144"/>
    <x v="174"/>
    <x v="67"/>
    <x v="188"/>
    <x v="127"/>
    <x v="180"/>
    <x v="161"/>
  </r>
  <r>
    <x v="173"/>
    <x v="181"/>
    <x v="184"/>
    <x v="179"/>
    <x v="181"/>
    <x v="175"/>
    <x v="152"/>
    <x v="169"/>
    <x v="46"/>
    <x v="191"/>
    <x v="137"/>
    <x v="188"/>
    <x v="160"/>
  </r>
  <r>
    <x v="174"/>
    <x v="189"/>
    <x v="193"/>
    <x v="181"/>
    <x v="183"/>
    <x v="176"/>
    <x v="145"/>
    <x v="170"/>
    <x v="51"/>
    <x v="199"/>
    <x v="139"/>
    <x v="190"/>
    <x v="169"/>
  </r>
  <r>
    <x v="175"/>
    <x v="178"/>
    <x v="188"/>
    <x v="172"/>
    <x v="175"/>
    <x v="165"/>
    <x v="155"/>
    <x v="155"/>
    <x v="38"/>
    <x v="196"/>
    <x v="140"/>
    <x v="176"/>
    <x v="159"/>
  </r>
  <r>
    <x v="176"/>
    <x v="176"/>
    <x v="194"/>
    <x v="161"/>
    <x v="168"/>
    <x v="168"/>
    <x v="161"/>
    <x v="150"/>
    <x v="27"/>
    <x v="198"/>
    <x v="133"/>
    <x v="186"/>
    <x v="180"/>
  </r>
  <r>
    <x v="177"/>
    <x v="197"/>
    <x v="201"/>
    <x v="195"/>
    <x v="196"/>
    <x v="192"/>
    <x v="154"/>
    <x v="168"/>
    <x v="56"/>
    <x v="203"/>
    <x v="195"/>
    <x v="193"/>
    <x v="195"/>
  </r>
  <r>
    <x v="178"/>
    <x v="163"/>
    <x v="183"/>
    <x v="148"/>
    <x v="158"/>
    <x v="161"/>
    <x v="151"/>
    <x v="139"/>
    <x v="33"/>
    <x v="186"/>
    <x v="143"/>
    <x v="181"/>
    <x v="181"/>
  </r>
  <r>
    <x v="179"/>
    <x v="162"/>
    <x v="179"/>
    <x v="150"/>
    <x v="159"/>
    <x v="150"/>
    <x v="153"/>
    <x v="144"/>
    <x v="31"/>
    <x v="178"/>
    <x v="146"/>
    <x v="173"/>
    <x v="187"/>
  </r>
  <r>
    <x v="180"/>
    <x v="182"/>
    <x v="192"/>
    <x v="168"/>
    <x v="174"/>
    <x v="146"/>
    <x v="158"/>
    <x v="158"/>
    <x v="35"/>
    <x v="190"/>
    <x v="168"/>
    <x v="184"/>
    <x v="199"/>
  </r>
  <r>
    <x v="181"/>
    <x v="168"/>
    <x v="182"/>
    <x v="157"/>
    <x v="164"/>
    <x v="145"/>
    <x v="159"/>
    <x v="164"/>
    <x v="23"/>
    <x v="184"/>
    <x v="162"/>
    <x v="191"/>
    <x v="168"/>
  </r>
  <r>
    <x v="182"/>
    <x v="186"/>
    <x v="197"/>
    <x v="166"/>
    <x v="176"/>
    <x v="158"/>
    <x v="165"/>
    <x v="147"/>
    <x v="24"/>
    <x v="197"/>
    <x v="176"/>
    <x v="185"/>
    <x v="196"/>
  </r>
  <r>
    <x v="183"/>
    <x v="203"/>
    <x v="200"/>
    <x v="203"/>
    <x v="203"/>
    <x v="194"/>
    <x v="208"/>
    <x v="205"/>
    <x v="78"/>
    <x v="189"/>
    <x v="201"/>
    <x v="197"/>
    <x v="204"/>
  </r>
  <r>
    <x v="184"/>
    <x v="202"/>
    <x v="199"/>
    <x v="200"/>
    <x v="202"/>
    <x v="172"/>
    <x v="205"/>
    <x v="192"/>
    <x v="61"/>
    <x v="194"/>
    <x v="203"/>
    <x v="198"/>
    <x v="194"/>
  </r>
  <r>
    <x v="185"/>
    <x v="193"/>
    <x v="196"/>
    <x v="183"/>
    <x v="190"/>
    <x v="148"/>
    <x v="201"/>
    <x v="146"/>
    <x v="41"/>
    <x v="181"/>
    <x v="199"/>
    <x v="199"/>
    <x v="192"/>
  </r>
  <r>
    <x v="186"/>
    <x v="147"/>
    <x v="151"/>
    <x v="146"/>
    <x v="166"/>
    <x v="139"/>
    <x v="197"/>
    <x v="130"/>
    <x v="14"/>
    <x v="151"/>
    <x v="164"/>
    <x v="160"/>
    <x v="177"/>
  </r>
  <r>
    <x v="187"/>
    <x v="141"/>
    <x v="142"/>
    <x v="140"/>
    <x v="147"/>
    <x v="135"/>
    <x v="179"/>
    <x v="125"/>
    <x v="10"/>
    <x v="146"/>
    <x v="135"/>
    <x v="145"/>
    <x v="150"/>
  </r>
  <r>
    <x v="188"/>
    <x v="138"/>
    <x v="137"/>
    <x v="138"/>
    <x v="143"/>
    <x v="132"/>
    <x v="181"/>
    <x v="126"/>
    <x v="7"/>
    <x v="141"/>
    <x v="125"/>
    <x v="138"/>
    <x v="142"/>
  </r>
  <r>
    <x v="189"/>
    <x v="134"/>
    <x v="133"/>
    <x v="134"/>
    <x v="137"/>
    <x v="129"/>
    <x v="169"/>
    <x v="124"/>
    <x v="6"/>
    <x v="133"/>
    <x v="126"/>
    <x v="139"/>
    <x v="137"/>
  </r>
  <r>
    <x v="190"/>
    <x v="133"/>
    <x v="134"/>
    <x v="133"/>
    <x v="139"/>
    <x v="127"/>
    <x v="162"/>
    <x v="122"/>
    <x v="4"/>
    <x v="134"/>
    <x v="136"/>
    <x v="136"/>
    <x v="133"/>
  </r>
  <r>
    <x v="191"/>
    <x v="132"/>
    <x v="131"/>
    <x v="135"/>
    <x v="142"/>
    <x v="131"/>
    <x v="160"/>
    <x v="121"/>
    <x v="2"/>
    <x v="132"/>
    <x v="129"/>
    <x v="135"/>
    <x v="131"/>
  </r>
  <r>
    <x v="192"/>
    <x v="135"/>
    <x v="135"/>
    <x v="136"/>
    <x v="136"/>
    <x v="130"/>
    <x v="180"/>
    <x v="127"/>
    <x v="5"/>
    <x v="136"/>
    <x v="142"/>
    <x v="146"/>
    <x v="134"/>
  </r>
  <r>
    <x v="193"/>
    <x v="137"/>
    <x v="136"/>
    <x v="139"/>
    <x v="140"/>
    <x v="138"/>
    <x v="186"/>
    <x v="132"/>
    <x v="9"/>
    <x v="135"/>
    <x v="161"/>
    <x v="149"/>
    <x v="132"/>
  </r>
  <r>
    <x v="194"/>
    <x v="140"/>
    <x v="139"/>
    <x v="144"/>
    <x v="148"/>
    <x v="140"/>
    <x v="177"/>
    <x v="131"/>
    <x v="8"/>
    <x v="140"/>
    <x v="141"/>
    <x v="158"/>
    <x v="138"/>
  </r>
  <r>
    <x v="195"/>
    <x v="149"/>
    <x v="145"/>
    <x v="158"/>
    <x v="180"/>
    <x v="141"/>
    <x v="157"/>
    <x v="133"/>
    <x v="13"/>
    <x v="144"/>
    <x v="160"/>
    <x v="163"/>
    <x v="152"/>
  </r>
  <r>
    <x v="196"/>
    <x v="153"/>
    <x v="146"/>
    <x v="170"/>
    <x v="185"/>
    <x v="143"/>
    <x v="166"/>
    <x v="148"/>
    <x v="26"/>
    <x v="142"/>
    <x v="182"/>
    <x v="172"/>
    <x v="149"/>
  </r>
  <r>
    <x v="197"/>
    <x v="146"/>
    <x v="144"/>
    <x v="147"/>
    <x v="169"/>
    <x v="142"/>
    <x v="176"/>
    <x v="129"/>
    <x v="22"/>
    <x v="143"/>
    <x v="170"/>
    <x v="189"/>
    <x v="139"/>
  </r>
  <r>
    <x v="198"/>
    <x v="179"/>
    <x v="167"/>
    <x v="187"/>
    <x v="193"/>
    <x v="151"/>
    <x v="156"/>
    <x v="173"/>
    <x v="65"/>
    <x v="157"/>
    <x v="181"/>
    <x v="195"/>
    <x v="155"/>
  </r>
  <r>
    <x v="199"/>
    <x v="191"/>
    <x v="177"/>
    <x v="192"/>
    <x v="195"/>
    <x v="147"/>
    <x v="171"/>
    <x v="159"/>
    <x v="66"/>
    <x v="170"/>
    <x v="186"/>
    <x v="196"/>
    <x v="164"/>
  </r>
  <r>
    <x v="200"/>
    <x v="192"/>
    <x v="180"/>
    <x v="190"/>
    <x v="192"/>
    <x v="154"/>
    <x v="190"/>
    <x v="162"/>
    <x v="70"/>
    <x v="167"/>
    <x v="192"/>
    <x v="200"/>
    <x v="171"/>
  </r>
  <r>
    <x v="201"/>
    <x v="196"/>
    <x v="195"/>
    <x v="196"/>
    <x v="198"/>
    <x v="156"/>
    <x v="194"/>
    <x v="163"/>
    <x v="57"/>
    <x v="174"/>
    <x v="198"/>
    <x v="201"/>
    <x v="174"/>
  </r>
  <r>
    <x v="202"/>
    <x v="200"/>
    <x v="202"/>
    <x v="199"/>
    <x v="199"/>
    <x v="162"/>
    <x v="200"/>
    <x v="199"/>
    <x v="71"/>
    <x v="201"/>
    <x v="200"/>
    <x v="203"/>
    <x v="167"/>
  </r>
  <r>
    <x v="203"/>
    <x v="201"/>
    <x v="203"/>
    <x v="198"/>
    <x v="197"/>
    <x v="157"/>
    <x v="199"/>
    <x v="197"/>
    <x v="81"/>
    <x v="202"/>
    <x v="202"/>
    <x v="202"/>
    <x v="184"/>
  </r>
  <r>
    <x v="204"/>
    <x v="204"/>
    <x v="204"/>
    <x v="204"/>
    <x v="204"/>
    <x v="171"/>
    <x v="202"/>
    <x v="202"/>
    <x v="84"/>
    <x v="204"/>
    <x v="204"/>
    <x v="204"/>
    <x v="202"/>
  </r>
  <r>
    <x v="205"/>
    <x v="205"/>
    <x v="205"/>
    <x v="205"/>
    <x v="205"/>
    <x v="180"/>
    <x v="203"/>
    <x v="204"/>
    <x v="85"/>
    <x v="205"/>
    <x v="205"/>
    <x v="205"/>
    <x v="205"/>
  </r>
  <r>
    <x v="206"/>
    <x v="206"/>
    <x v="206"/>
    <x v="206"/>
    <x v="206"/>
    <x v="189"/>
    <x v="204"/>
    <x v="206"/>
    <x v="86"/>
    <x v="206"/>
    <x v="206"/>
    <x v="206"/>
    <x v="206"/>
  </r>
  <r>
    <x v="207"/>
    <x v="207"/>
    <x v="207"/>
    <x v="207"/>
    <x v="207"/>
    <x v="202"/>
    <x v="206"/>
    <x v="207"/>
    <x v="87"/>
    <x v="207"/>
    <x v="207"/>
    <x v="207"/>
    <x v="207"/>
  </r>
  <r>
    <x v="208"/>
    <x v="208"/>
    <x v="208"/>
    <x v="208"/>
    <x v="208"/>
    <x v="207"/>
    <x v="207"/>
    <x v="208"/>
    <x v="88"/>
    <x v="208"/>
    <x v="208"/>
    <x v="208"/>
    <x v="208"/>
  </r>
  <r>
    <x v="209"/>
    <x v="209"/>
    <x v="209"/>
    <x v="211"/>
    <x v="212"/>
    <x v="209"/>
    <x v="216"/>
    <x v="211"/>
    <x v="90"/>
    <x v="209"/>
    <x v="209"/>
    <x v="209"/>
    <x v="209"/>
  </r>
  <r>
    <x v="210"/>
    <x v="210"/>
    <x v="210"/>
    <x v="210"/>
    <x v="210"/>
    <x v="213"/>
    <x v="213"/>
    <x v="210"/>
    <x v="91"/>
    <x v="210"/>
    <x v="211"/>
    <x v="211"/>
    <x v="211"/>
  </r>
  <r>
    <x v="211"/>
    <x v="211"/>
    <x v="211"/>
    <x v="209"/>
    <x v="209"/>
    <x v="211"/>
    <x v="210"/>
    <x v="212"/>
    <x v="89"/>
    <x v="211"/>
    <x v="210"/>
    <x v="210"/>
    <x v="210"/>
  </r>
  <r>
    <x v="212"/>
    <x v="212"/>
    <x v="212"/>
    <x v="212"/>
    <x v="211"/>
    <x v="210"/>
    <x v="222"/>
    <x v="213"/>
    <x v="93"/>
    <x v="212"/>
    <x v="213"/>
    <x v="212"/>
    <x v="212"/>
  </r>
  <r>
    <x v="213"/>
    <x v="214"/>
    <x v="214"/>
    <x v="213"/>
    <x v="213"/>
    <x v="212"/>
    <x v="214"/>
    <x v="214"/>
    <x v="92"/>
    <x v="214"/>
    <x v="214"/>
    <x v="213"/>
    <x v="218"/>
  </r>
  <r>
    <x v="214"/>
    <x v="213"/>
    <x v="213"/>
    <x v="214"/>
    <x v="214"/>
    <x v="215"/>
    <x v="211"/>
    <x v="209"/>
    <x v="94"/>
    <x v="213"/>
    <x v="212"/>
    <x v="214"/>
    <x v="216"/>
  </r>
  <r>
    <x v="215"/>
    <x v="215"/>
    <x v="216"/>
    <x v="215"/>
    <x v="215"/>
    <x v="219"/>
    <x v="217"/>
    <x v="215"/>
    <x v="97"/>
    <x v="216"/>
    <x v="218"/>
    <x v="216"/>
    <x v="219"/>
  </r>
  <r>
    <x v="216"/>
    <x v="216"/>
    <x v="217"/>
    <x v="216"/>
    <x v="216"/>
    <x v="217"/>
    <x v="212"/>
    <x v="216"/>
    <x v="98"/>
    <x v="217"/>
    <x v="216"/>
    <x v="215"/>
    <x v="214"/>
  </r>
  <r>
    <x v="217"/>
    <x v="217"/>
    <x v="215"/>
    <x v="218"/>
    <x v="218"/>
    <x v="216"/>
    <x v="218"/>
    <x v="218"/>
    <x v="96"/>
    <x v="215"/>
    <x v="217"/>
    <x v="218"/>
    <x v="217"/>
  </r>
  <r>
    <x v="218"/>
    <x v="218"/>
    <x v="218"/>
    <x v="217"/>
    <x v="217"/>
    <x v="214"/>
    <x v="220"/>
    <x v="217"/>
    <x v="95"/>
    <x v="219"/>
    <x v="221"/>
    <x v="217"/>
    <x v="213"/>
  </r>
  <r>
    <x v="219"/>
    <x v="219"/>
    <x v="220"/>
    <x v="219"/>
    <x v="219"/>
    <x v="218"/>
    <x v="215"/>
    <x v="219"/>
    <x v="99"/>
    <x v="218"/>
    <x v="224"/>
    <x v="219"/>
    <x v="220"/>
  </r>
  <r>
    <x v="220"/>
    <x v="220"/>
    <x v="219"/>
    <x v="220"/>
    <x v="220"/>
    <x v="220"/>
    <x v="209"/>
    <x v="222"/>
    <x v="100"/>
    <x v="220"/>
    <x v="215"/>
    <x v="220"/>
    <x v="215"/>
  </r>
  <r>
    <x v="221"/>
    <x v="221"/>
    <x v="221"/>
    <x v="221"/>
    <x v="221"/>
    <x v="221"/>
    <x v="223"/>
    <x v="228"/>
    <x v="101"/>
    <x v="221"/>
    <x v="219"/>
    <x v="221"/>
    <x v="227"/>
  </r>
  <r>
    <x v="222"/>
    <x v="224"/>
    <x v="224"/>
    <x v="225"/>
    <x v="224"/>
    <x v="222"/>
    <x v="226"/>
    <x v="229"/>
    <x v="102"/>
    <x v="222"/>
    <x v="228"/>
    <x v="224"/>
    <x v="230"/>
  </r>
  <r>
    <x v="223"/>
    <x v="231"/>
    <x v="230"/>
    <x v="230"/>
    <x v="231"/>
    <x v="223"/>
    <x v="232"/>
    <x v="233"/>
    <x v="103"/>
    <x v="227"/>
    <x v="231"/>
    <x v="226"/>
    <x v="236"/>
  </r>
  <r>
    <x v="224"/>
    <x v="232"/>
    <x v="229"/>
    <x v="232"/>
    <x v="233"/>
    <x v="228"/>
    <x v="233"/>
    <x v="231"/>
    <x v="110"/>
    <x v="229"/>
    <x v="233"/>
    <x v="228"/>
    <x v="232"/>
  </r>
  <r>
    <x v="225"/>
    <x v="228"/>
    <x v="228"/>
    <x v="229"/>
    <x v="230"/>
    <x v="227"/>
    <x v="231"/>
    <x v="227"/>
    <x v="109"/>
    <x v="230"/>
    <x v="230"/>
    <x v="227"/>
    <x v="228"/>
  </r>
  <r>
    <x v="226"/>
    <x v="223"/>
    <x v="223"/>
    <x v="226"/>
    <x v="226"/>
    <x v="226"/>
    <x v="225"/>
    <x v="223"/>
    <x v="105"/>
    <x v="225"/>
    <x v="222"/>
    <x v="223"/>
    <x v="226"/>
  </r>
  <r>
    <x v="227"/>
    <x v="222"/>
    <x v="225"/>
    <x v="223"/>
    <x v="225"/>
    <x v="224"/>
    <x v="224"/>
    <x v="221"/>
    <x v="104"/>
    <x v="228"/>
    <x v="220"/>
    <x v="222"/>
    <x v="224"/>
  </r>
  <r>
    <x v="228"/>
    <x v="225"/>
    <x v="222"/>
    <x v="228"/>
    <x v="227"/>
    <x v="231"/>
    <x v="230"/>
    <x v="226"/>
    <x v="108"/>
    <x v="223"/>
    <x v="223"/>
    <x v="225"/>
    <x v="222"/>
  </r>
  <r>
    <x v="229"/>
    <x v="226"/>
    <x v="227"/>
    <x v="227"/>
    <x v="228"/>
    <x v="230"/>
    <x v="227"/>
    <x v="225"/>
    <x v="106"/>
    <x v="226"/>
    <x v="225"/>
    <x v="229"/>
    <x v="225"/>
  </r>
  <r>
    <x v="230"/>
    <x v="229"/>
    <x v="226"/>
    <x v="233"/>
    <x v="232"/>
    <x v="233"/>
    <x v="228"/>
    <x v="232"/>
    <x v="111"/>
    <x v="224"/>
    <x v="227"/>
    <x v="230"/>
    <x v="231"/>
  </r>
  <r>
    <x v="231"/>
    <x v="237"/>
    <x v="234"/>
    <x v="240"/>
    <x v="240"/>
    <x v="238"/>
    <x v="237"/>
    <x v="240"/>
    <x v="119"/>
    <x v="234"/>
    <x v="234"/>
    <x v="235"/>
    <x v="235"/>
  </r>
  <r>
    <x v="232"/>
    <x v="236"/>
    <x v="233"/>
    <x v="238"/>
    <x v="237"/>
    <x v="235"/>
    <x v="234"/>
    <x v="238"/>
    <x v="116"/>
    <x v="233"/>
    <x v="235"/>
    <x v="234"/>
    <x v="233"/>
  </r>
  <r>
    <x v="233"/>
    <x v="233"/>
    <x v="231"/>
    <x v="231"/>
    <x v="229"/>
    <x v="232"/>
    <x v="229"/>
    <x v="230"/>
    <x v="118"/>
    <x v="231"/>
    <x v="237"/>
    <x v="232"/>
    <x v="229"/>
  </r>
  <r>
    <x v="234"/>
    <x v="235"/>
    <x v="236"/>
    <x v="236"/>
    <x v="238"/>
    <x v="237"/>
    <x v="235"/>
    <x v="234"/>
    <x v="112"/>
    <x v="235"/>
    <x v="232"/>
    <x v="237"/>
    <x v="237"/>
  </r>
  <r>
    <x v="235"/>
    <x v="239"/>
    <x v="238"/>
    <x v="237"/>
    <x v="236"/>
    <x v="239"/>
    <x v="240"/>
    <x v="239"/>
    <x v="120"/>
    <x v="237"/>
    <x v="239"/>
    <x v="238"/>
    <x v="238"/>
  </r>
  <r>
    <x v="236"/>
    <x v="240"/>
    <x v="240"/>
    <x v="239"/>
    <x v="239"/>
    <x v="240"/>
    <x v="239"/>
    <x v="237"/>
    <x v="117"/>
    <x v="240"/>
    <x v="240"/>
    <x v="240"/>
    <x v="239"/>
  </r>
  <r>
    <x v="237"/>
    <x v="238"/>
    <x v="239"/>
    <x v="235"/>
    <x v="235"/>
    <x v="236"/>
    <x v="238"/>
    <x v="236"/>
    <x v="114"/>
    <x v="238"/>
    <x v="236"/>
    <x v="239"/>
    <x v="240"/>
  </r>
  <r>
    <x v="238"/>
    <x v="234"/>
    <x v="237"/>
    <x v="234"/>
    <x v="234"/>
    <x v="234"/>
    <x v="236"/>
    <x v="235"/>
    <x v="115"/>
    <x v="236"/>
    <x v="238"/>
    <x v="236"/>
    <x v="234"/>
  </r>
  <r>
    <x v="239"/>
    <x v="230"/>
    <x v="235"/>
    <x v="222"/>
    <x v="222"/>
    <x v="225"/>
    <x v="221"/>
    <x v="220"/>
    <x v="113"/>
    <x v="239"/>
    <x v="229"/>
    <x v="233"/>
    <x v="221"/>
  </r>
  <r>
    <x v="240"/>
    <x v="227"/>
    <x v="232"/>
    <x v="224"/>
    <x v="223"/>
    <x v="229"/>
    <x v="219"/>
    <x v="224"/>
    <x v="107"/>
    <x v="232"/>
    <x v="226"/>
    <x v="231"/>
    <x v="22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L5" firstHeaderRow="1" firstDataRow="2" firstDataCol="0"/>
  <pivotFields count="13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colFields count="1">
    <field x="-2"/>
  </colFields>
  <dataFields count="12">
    <dataField name="Average of nacional" fld="1" subtotal="average" numFmtId="164"/>
    <dataField name="Average of sierra" fld="2" subtotal="average" numFmtId="164"/>
    <dataField name="Average of costa" fld="3" subtotal="average" numFmtId="164"/>
    <dataField name="Average of Guayaquil" fld="4" subtotal="average" numFmtId="164"/>
    <dataField name="Average of Esmeraldas" fld="5" subtotal="average" numFmtId="164"/>
    <dataField name="Average of Machala" fld="6" subtotal="average" numFmtId="164"/>
    <dataField name="Average of Manta" fld="7" subtotal="average" numFmtId="164"/>
    <dataField name="Average of Sto. Domingo" fld="8" subtotal="average" numFmtId="164"/>
    <dataField name="Average of Quito" fld="9" subtotal="average" numFmtId="164"/>
    <dataField name="Average of Loja" fld="10" subtotal="average" numFmtId="164"/>
    <dataField name="Average of Cuenca" fld="11" subtotal="average" numFmtId="164"/>
    <dataField name="Average of Ambato" fld="12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2" ySplit="1" topLeftCell="C58" activePane="bottomRight" state="frozen"/>
      <selection pane="topLeft" activeCell="A1" activeCellId="0" sqref="A1"/>
      <selection pane="topRight" activeCell="C1" activeCellId="0" sqref="C1"/>
      <selection pane="bottomLeft" activeCell="A58" activeCellId="0" sqref="A58"/>
      <selection pane="bottomRight" activeCell="M69" activeCellId="0" sqref="M69"/>
    </sheetView>
  </sheetViews>
  <sheetFormatPr defaultColWidth="8.6796875" defaultRowHeight="15" zeroHeight="false" outlineLevelRow="0" outlineLevelCol="0"/>
  <cols>
    <col collapsed="false" customWidth="true" hidden="false" outlineLevel="0" max="19" min="16" style="1" width="17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2" t="n">
        <v>1990</v>
      </c>
      <c r="B2" s="2" t="n">
        <v>1</v>
      </c>
      <c r="C2" s="2" t="n">
        <v>1.129234100118</v>
      </c>
      <c r="F2" s="2" t="n">
        <v>1.30918154342752</v>
      </c>
      <c r="K2" s="2" t="n">
        <v>1.1101481505887</v>
      </c>
      <c r="M2" s="2" t="n">
        <v>0.951320144929357</v>
      </c>
      <c r="O2" s="2" t="n">
        <v>39</v>
      </c>
      <c r="P2" s="2" t="n">
        <v>720.2</v>
      </c>
      <c r="Q2" s="2" t="n">
        <v>921.130824265288</v>
      </c>
    </row>
    <row r="3" customFormat="false" ht="15" hidden="false" customHeight="false" outlineLevel="0" collapsed="false">
      <c r="A3" s="2" t="n">
        <v>1990</v>
      </c>
      <c r="B3" s="2" t="n">
        <v>2</v>
      </c>
      <c r="C3" s="2" t="n">
        <v>1.129234100118</v>
      </c>
      <c r="F3" s="2" t="n">
        <v>1.30918154342752</v>
      </c>
      <c r="K3" s="2" t="n">
        <v>1.1101481505887</v>
      </c>
      <c r="M3" s="2" t="n">
        <v>0.951320144929357</v>
      </c>
      <c r="O3" s="2" t="n">
        <v>39</v>
      </c>
      <c r="P3" s="2" t="n">
        <v>831.503333333333</v>
      </c>
      <c r="Q3" s="2" t="n">
        <v>928.537384529416</v>
      </c>
    </row>
    <row r="4" customFormat="false" ht="15" hidden="false" customHeight="false" outlineLevel="0" collapsed="false">
      <c r="A4" s="2" t="n">
        <v>1990</v>
      </c>
      <c r="B4" s="2" t="n">
        <v>3</v>
      </c>
      <c r="C4" s="2" t="n">
        <v>1.129234100118</v>
      </c>
      <c r="F4" s="2" t="n">
        <v>1.30918154342752</v>
      </c>
      <c r="K4" s="2" t="n">
        <v>1.1101481505887</v>
      </c>
      <c r="M4" s="2" t="n">
        <v>0.951320144929357</v>
      </c>
      <c r="O4" s="2" t="n">
        <v>39</v>
      </c>
      <c r="P4" s="2" t="n">
        <v>900.996666666667</v>
      </c>
      <c r="Q4" s="2" t="n">
        <v>936.01297230384</v>
      </c>
    </row>
    <row r="5" customFormat="false" ht="15" hidden="false" customHeight="false" outlineLevel="0" collapsed="false">
      <c r="A5" s="2" t="n">
        <v>1990</v>
      </c>
      <c r="B5" s="2" t="n">
        <v>4</v>
      </c>
      <c r="C5" s="2" t="n">
        <v>1.129234100118</v>
      </c>
      <c r="F5" s="2" t="n">
        <v>1.30918154342752</v>
      </c>
      <c r="K5" s="2" t="n">
        <v>1.1101481505887</v>
      </c>
      <c r="M5" s="2" t="n">
        <v>0.951320144929357</v>
      </c>
      <c r="O5" s="2" t="n">
        <v>39</v>
      </c>
      <c r="P5" s="2" t="n">
        <v>885.823333333333</v>
      </c>
      <c r="Q5" s="2" t="n">
        <v>943.889470195986</v>
      </c>
    </row>
    <row r="6" customFormat="false" ht="15" hidden="false" customHeight="false" outlineLevel="0" collapsed="false">
      <c r="A6" s="2" t="n">
        <v>1991</v>
      </c>
      <c r="B6" s="2" t="n">
        <v>1</v>
      </c>
      <c r="C6" s="2" t="n">
        <v>1.67942408181436</v>
      </c>
      <c r="F6" s="2" t="n">
        <v>1.9618661671463</v>
      </c>
      <c r="K6" s="2" t="n">
        <v>1.62001332516465</v>
      </c>
      <c r="M6" s="2" t="n">
        <v>1.41010743543288</v>
      </c>
      <c r="O6" s="2" t="n">
        <v>36</v>
      </c>
      <c r="P6" s="2" t="n">
        <v>1007.03333333333</v>
      </c>
      <c r="Q6" s="2" t="n">
        <v>921.130824265298</v>
      </c>
    </row>
    <row r="7" customFormat="false" ht="15" hidden="false" customHeight="false" outlineLevel="0" collapsed="false">
      <c r="A7" s="2" t="n">
        <v>1991</v>
      </c>
      <c r="B7" s="2" t="n">
        <v>2</v>
      </c>
      <c r="C7" s="2" t="n">
        <v>1.67942408181436</v>
      </c>
      <c r="F7" s="2" t="n">
        <v>1.9618661671463</v>
      </c>
      <c r="K7" s="2" t="n">
        <v>1.62001332516465</v>
      </c>
      <c r="M7" s="2" t="n">
        <v>1.41010743543288</v>
      </c>
      <c r="O7" s="2" t="n">
        <v>36</v>
      </c>
      <c r="P7" s="2" t="n">
        <v>1107.46</v>
      </c>
      <c r="Q7" s="2" t="n">
        <v>928.537384529419</v>
      </c>
    </row>
    <row r="8" customFormat="false" ht="15" hidden="false" customHeight="false" outlineLevel="0" collapsed="false">
      <c r="A8" s="2" t="n">
        <v>1991</v>
      </c>
      <c r="B8" s="2" t="n">
        <v>3</v>
      </c>
      <c r="C8" s="2" t="n">
        <v>1.67942408181436</v>
      </c>
      <c r="F8" s="2" t="n">
        <v>1.9618661671463</v>
      </c>
      <c r="K8" s="2" t="n">
        <v>1.62001332516465</v>
      </c>
      <c r="M8" s="2" t="n">
        <v>1.41010743543288</v>
      </c>
      <c r="O8" s="2" t="n">
        <v>36</v>
      </c>
      <c r="P8" s="2" t="n">
        <v>1130.14</v>
      </c>
      <c r="Q8" s="2" t="n">
        <v>936.012972303842</v>
      </c>
    </row>
    <row r="9" customFormat="false" ht="15" hidden="false" customHeight="false" outlineLevel="0" collapsed="false">
      <c r="A9" s="2" t="n">
        <v>1991</v>
      </c>
      <c r="B9" s="2" t="n">
        <v>4</v>
      </c>
      <c r="C9" s="2" t="n">
        <v>1.67942408181436</v>
      </c>
      <c r="F9" s="2" t="n">
        <v>1.9618661671463</v>
      </c>
      <c r="K9" s="2" t="n">
        <v>1.62001332516465</v>
      </c>
      <c r="M9" s="2" t="n">
        <v>1.41010743543288</v>
      </c>
      <c r="O9" s="2" t="n">
        <v>36</v>
      </c>
      <c r="P9" s="2" t="n">
        <v>1260.65333333333</v>
      </c>
      <c r="Q9" s="2" t="n">
        <v>943.889470195979</v>
      </c>
    </row>
    <row r="10" customFormat="false" ht="15" hidden="false" customHeight="false" outlineLevel="0" collapsed="false">
      <c r="A10" s="2" t="n">
        <v>1992</v>
      </c>
      <c r="B10" s="2" t="n">
        <v>1</v>
      </c>
      <c r="C10" s="2" t="n">
        <v>2.59648729287527</v>
      </c>
      <c r="F10" s="2" t="n">
        <v>3.02016930908001</v>
      </c>
      <c r="K10" s="2" t="n">
        <v>2.54167623229581</v>
      </c>
      <c r="M10" s="2" t="n">
        <v>2.12216105610781</v>
      </c>
      <c r="O10" s="2" t="n">
        <v>30</v>
      </c>
      <c r="P10" s="2" t="n">
        <v>1351.51333333333</v>
      </c>
      <c r="Q10" s="2" t="n">
        <v>921.130824265295</v>
      </c>
    </row>
    <row r="11" customFormat="false" ht="15" hidden="false" customHeight="false" outlineLevel="0" collapsed="false">
      <c r="A11" s="2" t="n">
        <v>1992</v>
      </c>
      <c r="B11" s="2" t="n">
        <v>2</v>
      </c>
      <c r="C11" s="2" t="n">
        <v>2.59648729287527</v>
      </c>
      <c r="F11" s="2" t="n">
        <v>3.02016930908001</v>
      </c>
      <c r="K11" s="2" t="n">
        <v>2.54167623229581</v>
      </c>
      <c r="M11" s="2" t="n">
        <v>2.12216105610781</v>
      </c>
      <c r="O11" s="2" t="n">
        <v>40</v>
      </c>
      <c r="P11" s="2" t="n">
        <v>1480.35333333333</v>
      </c>
      <c r="Q11" s="2" t="n">
        <v>928.537384529416</v>
      </c>
    </row>
    <row r="12" customFormat="false" ht="15" hidden="false" customHeight="false" outlineLevel="0" collapsed="false">
      <c r="A12" s="2" t="n">
        <v>1992</v>
      </c>
      <c r="B12" s="2" t="n">
        <v>3</v>
      </c>
      <c r="C12" s="2" t="n">
        <v>2.59648729287527</v>
      </c>
      <c r="F12" s="2" t="n">
        <v>3.02016930908001</v>
      </c>
      <c r="K12" s="2" t="n">
        <v>2.54167623229581</v>
      </c>
      <c r="M12" s="2" t="n">
        <v>2.12216105610781</v>
      </c>
      <c r="O12" s="2" t="n">
        <v>40</v>
      </c>
      <c r="P12" s="2" t="n">
        <v>1720.78</v>
      </c>
      <c r="Q12" s="2" t="n">
        <v>936.01297230384</v>
      </c>
    </row>
    <row r="13" customFormat="false" ht="15" hidden="false" customHeight="false" outlineLevel="0" collapsed="false">
      <c r="A13" s="2" t="n">
        <v>1992</v>
      </c>
      <c r="B13" s="2" t="n">
        <v>4</v>
      </c>
      <c r="C13" s="2" t="n">
        <v>2.59648729287527</v>
      </c>
      <c r="F13" s="2" t="n">
        <v>3.02016930908001</v>
      </c>
      <c r="K13" s="2" t="n">
        <v>2.54167623229581</v>
      </c>
      <c r="M13" s="2" t="n">
        <v>2.12216105610781</v>
      </c>
      <c r="O13" s="2" t="n">
        <v>40</v>
      </c>
      <c r="P13" s="2" t="n">
        <v>1902.39666666667</v>
      </c>
      <c r="Q13" s="2" t="n">
        <v>943.889470195979</v>
      </c>
    </row>
    <row r="14" customFormat="false" ht="15" hidden="false" customHeight="false" outlineLevel="0" collapsed="false">
      <c r="A14" s="2" t="n">
        <v>1993</v>
      </c>
      <c r="B14" s="2" t="n">
        <v>1</v>
      </c>
      <c r="C14" s="2" t="n">
        <v>3.76373955123891</v>
      </c>
      <c r="F14" s="2" t="n">
        <v>4.31982011253261</v>
      </c>
      <c r="K14" s="2" t="n">
        <v>3.77151037438175</v>
      </c>
      <c r="M14" s="2" t="n">
        <v>3.09443329152515</v>
      </c>
      <c r="O14" s="2" t="n">
        <v>32</v>
      </c>
      <c r="P14" s="2" t="n">
        <v>1852.29</v>
      </c>
      <c r="Q14" s="2" t="n">
        <v>921.130824265295</v>
      </c>
    </row>
    <row r="15" customFormat="false" ht="15" hidden="false" customHeight="false" outlineLevel="0" collapsed="false">
      <c r="A15" s="2" t="n">
        <v>1993</v>
      </c>
      <c r="B15" s="2" t="n">
        <v>2</v>
      </c>
      <c r="C15" s="2" t="n">
        <v>3.76373955123891</v>
      </c>
      <c r="F15" s="2" t="n">
        <v>4.31982011253261</v>
      </c>
      <c r="K15" s="2" t="n">
        <v>3.77151037438175</v>
      </c>
      <c r="M15" s="2" t="n">
        <v>3.09443329152515</v>
      </c>
      <c r="O15" s="2" t="n">
        <v>34</v>
      </c>
      <c r="P15" s="2" t="n">
        <v>1906.47666666667</v>
      </c>
      <c r="Q15" s="2" t="n">
        <v>928.537384529416</v>
      </c>
    </row>
    <row r="16" customFormat="false" ht="15" hidden="false" customHeight="false" outlineLevel="0" collapsed="false">
      <c r="A16" s="2" t="n">
        <v>1993</v>
      </c>
      <c r="B16" s="2" t="n">
        <v>3</v>
      </c>
      <c r="C16" s="2" t="n">
        <v>3.76373955123891</v>
      </c>
      <c r="F16" s="2" t="n">
        <v>4.31982011253261</v>
      </c>
      <c r="K16" s="2" t="n">
        <v>3.77151037438175</v>
      </c>
      <c r="M16" s="2" t="n">
        <v>3.09443329152515</v>
      </c>
      <c r="O16" s="2" t="n">
        <v>34</v>
      </c>
      <c r="P16" s="2" t="n">
        <v>1944.54</v>
      </c>
      <c r="Q16" s="2" t="n">
        <v>936.01297230384</v>
      </c>
    </row>
    <row r="17" customFormat="false" ht="15" hidden="false" customHeight="false" outlineLevel="0" collapsed="false">
      <c r="A17" s="2" t="n">
        <v>1993</v>
      </c>
      <c r="B17" s="2" t="n">
        <v>4</v>
      </c>
      <c r="C17" s="2" t="n">
        <v>3.76373955123891</v>
      </c>
      <c r="F17" s="2" t="n">
        <v>4.31982011253261</v>
      </c>
      <c r="K17" s="2" t="n">
        <v>3.77151037438175</v>
      </c>
      <c r="M17" s="2" t="n">
        <v>3.09443329152515</v>
      </c>
      <c r="O17" s="2" t="n">
        <v>34</v>
      </c>
      <c r="P17" s="2" t="n">
        <v>1998.33333333333</v>
      </c>
      <c r="Q17" s="2" t="n">
        <v>943.889470195983</v>
      </c>
    </row>
    <row r="18" customFormat="false" ht="15" hidden="false" customHeight="false" outlineLevel="0" collapsed="false">
      <c r="A18" s="2" t="n">
        <v>1994</v>
      </c>
      <c r="B18" s="2" t="n">
        <v>1</v>
      </c>
      <c r="C18" s="2" t="n">
        <v>4.79165001111421</v>
      </c>
      <c r="F18" s="2" t="n">
        <v>5.48931522084045</v>
      </c>
      <c r="K18" s="2" t="n">
        <v>4.88854795282558</v>
      </c>
      <c r="M18" s="2" t="n">
        <v>3.90661250825932</v>
      </c>
      <c r="O18" s="2" t="n">
        <v>32</v>
      </c>
      <c r="P18" s="2" t="n">
        <v>2106</v>
      </c>
      <c r="Q18" s="2" t="n">
        <v>921.130824265295</v>
      </c>
    </row>
    <row r="19" customFormat="false" ht="15" hidden="false" customHeight="false" outlineLevel="0" collapsed="false">
      <c r="A19" s="2" t="n">
        <v>1994</v>
      </c>
      <c r="B19" s="2" t="n">
        <v>2</v>
      </c>
      <c r="C19" s="2" t="n">
        <v>4.79165001111421</v>
      </c>
      <c r="F19" s="2" t="n">
        <v>5.48931522084045</v>
      </c>
      <c r="K19" s="2" t="n">
        <v>4.88854795282558</v>
      </c>
      <c r="M19" s="2" t="n">
        <v>3.90661250825932</v>
      </c>
      <c r="O19" s="2" t="n">
        <v>32</v>
      </c>
      <c r="P19" s="2" t="n">
        <v>2173</v>
      </c>
      <c r="Q19" s="2" t="n">
        <v>928.537384529416</v>
      </c>
    </row>
    <row r="20" customFormat="false" ht="15" hidden="false" customHeight="false" outlineLevel="0" collapsed="false">
      <c r="A20" s="2" t="n">
        <v>1994</v>
      </c>
      <c r="B20" s="2" t="n">
        <v>3</v>
      </c>
      <c r="C20" s="2" t="n">
        <v>4.79165001111421</v>
      </c>
      <c r="F20" s="2" t="n">
        <v>5.48931522084045</v>
      </c>
      <c r="K20" s="2" t="n">
        <v>4.88854795282558</v>
      </c>
      <c r="M20" s="2" t="n">
        <v>3.90661250825932</v>
      </c>
      <c r="O20" s="2" t="n">
        <v>32</v>
      </c>
      <c r="P20" s="2" t="n">
        <v>2247.66666666667</v>
      </c>
      <c r="Q20" s="2" t="n">
        <v>936.01297230384</v>
      </c>
    </row>
    <row r="21" customFormat="false" ht="15" hidden="false" customHeight="false" outlineLevel="0" collapsed="false">
      <c r="A21" s="2" t="n">
        <v>1994</v>
      </c>
      <c r="B21" s="2" t="n">
        <v>4</v>
      </c>
      <c r="C21" s="2" t="n">
        <v>4.79165001111421</v>
      </c>
      <c r="F21" s="2" t="n">
        <v>5.48931522084045</v>
      </c>
      <c r="K21" s="2" t="n">
        <v>4.88854795282558</v>
      </c>
      <c r="M21" s="2" t="n">
        <v>3.90661250825932</v>
      </c>
      <c r="O21" s="2" t="n">
        <v>32</v>
      </c>
      <c r="P21" s="2" t="n">
        <v>2288</v>
      </c>
      <c r="Q21" s="2" t="n">
        <v>943.889470195979</v>
      </c>
    </row>
    <row r="22" customFormat="false" ht="15" hidden="false" customHeight="false" outlineLevel="0" collapsed="false">
      <c r="A22" s="2" t="n">
        <v>1995</v>
      </c>
      <c r="B22" s="2" t="n">
        <v>1</v>
      </c>
      <c r="C22" s="2" t="n">
        <v>5.89055893656967</v>
      </c>
      <c r="F22" s="2" t="n">
        <v>6.72259297359587</v>
      </c>
      <c r="K22" s="2" t="n">
        <v>6.09334258815525</v>
      </c>
      <c r="M22" s="2" t="n">
        <v>4.78913995608646</v>
      </c>
      <c r="O22" s="2" t="n">
        <v>32</v>
      </c>
      <c r="P22" s="2" t="n">
        <v>2403.33333333333</v>
      </c>
      <c r="Q22" s="1" t="n">
        <v>802.572775119067</v>
      </c>
    </row>
    <row r="23" customFormat="false" ht="15" hidden="false" customHeight="false" outlineLevel="0" collapsed="false">
      <c r="A23" s="2" t="n">
        <v>1995</v>
      </c>
      <c r="B23" s="2" t="n">
        <v>2</v>
      </c>
      <c r="C23" s="2" t="n">
        <v>5.89055893656967</v>
      </c>
      <c r="F23" s="2" t="n">
        <v>6.72259297359587</v>
      </c>
      <c r="K23" s="2" t="n">
        <v>6.09334258815525</v>
      </c>
      <c r="M23" s="2" t="n">
        <v>4.78913995608646</v>
      </c>
      <c r="O23" s="2" t="n">
        <v>33</v>
      </c>
      <c r="P23" s="2" t="n">
        <v>2505</v>
      </c>
      <c r="Q23" s="1" t="n">
        <v>809.026042634029</v>
      </c>
    </row>
    <row r="24" customFormat="false" ht="15" hidden="false" customHeight="false" outlineLevel="0" collapsed="false">
      <c r="A24" s="2" t="n">
        <v>1995</v>
      </c>
      <c r="B24" s="2" t="n">
        <v>3</v>
      </c>
      <c r="C24" s="2" t="n">
        <v>5.89055893656967</v>
      </c>
      <c r="F24" s="2" t="n">
        <v>6.72259297359587</v>
      </c>
      <c r="K24" s="2" t="n">
        <v>6.09334258815525</v>
      </c>
      <c r="M24" s="2" t="n">
        <v>4.78913995608646</v>
      </c>
      <c r="O24" s="2" t="n">
        <v>33</v>
      </c>
      <c r="P24" s="2" t="n">
        <v>2617.33333333333</v>
      </c>
      <c r="Q24" s="1" t="n">
        <v>815.539453180844</v>
      </c>
    </row>
    <row r="25" customFormat="false" ht="15" hidden="false" customHeight="false" outlineLevel="0" collapsed="false">
      <c r="A25" s="2" t="n">
        <v>1995</v>
      </c>
      <c r="B25" s="2" t="n">
        <v>4</v>
      </c>
      <c r="C25" s="2" t="n">
        <v>5.89055893656967</v>
      </c>
      <c r="F25" s="2" t="n">
        <v>6.72259297359587</v>
      </c>
      <c r="K25" s="2" t="n">
        <v>6.09334258815525</v>
      </c>
      <c r="M25" s="2" t="n">
        <v>4.78913995608646</v>
      </c>
      <c r="O25" s="2" t="n">
        <v>33</v>
      </c>
      <c r="P25" s="2" t="n">
        <v>2853.33333333333</v>
      </c>
      <c r="Q25" s="1" t="n">
        <v>822.402173008459</v>
      </c>
    </row>
    <row r="26" customFormat="false" ht="15" hidden="false" customHeight="false" outlineLevel="0" collapsed="false">
      <c r="A26" s="2" t="n">
        <v>1996</v>
      </c>
      <c r="B26" s="2" t="n">
        <v>1</v>
      </c>
      <c r="C26" s="2" t="n">
        <v>7.32721327856884</v>
      </c>
      <c r="F26" s="2" t="n">
        <v>8.31254040971796</v>
      </c>
      <c r="K26" s="2" t="n">
        <v>7.70346904009364</v>
      </c>
      <c r="M26" s="2" t="n">
        <v>6.14523115234842</v>
      </c>
      <c r="O26" s="2" t="n">
        <v>30</v>
      </c>
      <c r="P26" s="2" t="n">
        <v>2998.33333333333</v>
      </c>
      <c r="Q26" s="1" t="n">
        <v>645.211494873879</v>
      </c>
    </row>
    <row r="27" customFormat="false" ht="15" hidden="false" customHeight="false" outlineLevel="0" collapsed="false">
      <c r="A27" s="2" t="n">
        <v>1996</v>
      </c>
      <c r="B27" s="2" t="n">
        <v>2</v>
      </c>
      <c r="C27" s="2" t="n">
        <v>7.32721327856884</v>
      </c>
      <c r="F27" s="2" t="n">
        <v>8.31254040971796</v>
      </c>
      <c r="K27" s="2" t="n">
        <v>7.70346904009364</v>
      </c>
      <c r="M27" s="2" t="n">
        <v>6.14523115234842</v>
      </c>
      <c r="O27" s="2" t="n">
        <v>30</v>
      </c>
      <c r="P27" s="2" t="n">
        <v>3130</v>
      </c>
      <c r="Q27" s="1" t="n">
        <v>650.399463503307</v>
      </c>
    </row>
    <row r="28" customFormat="false" ht="15" hidden="false" customHeight="false" outlineLevel="0" collapsed="false">
      <c r="A28" s="2" t="n">
        <v>1996</v>
      </c>
      <c r="B28" s="2" t="n">
        <v>3</v>
      </c>
      <c r="C28" s="2" t="n">
        <v>7.32721327856884</v>
      </c>
      <c r="F28" s="2" t="n">
        <v>8.31254040971796</v>
      </c>
      <c r="K28" s="2" t="n">
        <v>7.70346904009364</v>
      </c>
      <c r="M28" s="2" t="n">
        <v>6.14523115234842</v>
      </c>
      <c r="O28" s="2" t="n">
        <v>30</v>
      </c>
      <c r="P28" s="2" t="n">
        <v>3268</v>
      </c>
      <c r="Q28" s="1" t="n">
        <v>655.635782857665</v>
      </c>
    </row>
    <row r="29" customFormat="false" ht="15" hidden="false" customHeight="false" outlineLevel="0" collapsed="false">
      <c r="A29" s="2" t="n">
        <v>1996</v>
      </c>
      <c r="B29" s="2" t="n">
        <v>4</v>
      </c>
      <c r="C29" s="2" t="n">
        <v>7.32721327856884</v>
      </c>
      <c r="F29" s="2" t="n">
        <v>8.31254040971796</v>
      </c>
      <c r="K29" s="2" t="n">
        <v>7.70346904009364</v>
      </c>
      <c r="M29" s="2" t="n">
        <v>6.14523115234842</v>
      </c>
      <c r="O29" s="2" t="n">
        <v>30</v>
      </c>
      <c r="P29" s="2" t="n">
        <v>3493</v>
      </c>
      <c r="Q29" s="1" t="n">
        <v>661.152922058181</v>
      </c>
    </row>
    <row r="30" customFormat="false" ht="15" hidden="false" customHeight="false" outlineLevel="0" collapsed="false">
      <c r="A30" s="2" t="n">
        <v>1997</v>
      </c>
      <c r="B30" s="2" t="n">
        <v>1</v>
      </c>
      <c r="C30" s="2" t="n">
        <v>9.57592002765096</v>
      </c>
      <c r="F30" s="2" t="n">
        <v>11.0439151914677</v>
      </c>
      <c r="K30" s="2" t="n">
        <v>9.89630709295551</v>
      </c>
      <c r="M30" s="2" t="n">
        <v>8.00589890138488</v>
      </c>
      <c r="O30" s="2" t="n">
        <v>23.7571271381414</v>
      </c>
      <c r="P30" s="2" t="n">
        <v>3756</v>
      </c>
      <c r="Q30" s="1" t="n">
        <v>493.696920930202</v>
      </c>
    </row>
    <row r="31" customFormat="false" ht="15" hidden="false" customHeight="false" outlineLevel="0" collapsed="false">
      <c r="A31" s="2" t="n">
        <v>1997</v>
      </c>
      <c r="B31" s="2" t="n">
        <v>2</v>
      </c>
      <c r="C31" s="2" t="n">
        <v>9.57592002765096</v>
      </c>
      <c r="F31" s="2" t="n">
        <v>11.0439151914677</v>
      </c>
      <c r="K31" s="2" t="n">
        <v>9.89630709295551</v>
      </c>
      <c r="M31" s="2" t="n">
        <v>8.00589890138488</v>
      </c>
      <c r="O31" s="2" t="n">
        <v>25.0075022506752</v>
      </c>
      <c r="P31" s="2" t="n">
        <v>3924</v>
      </c>
      <c r="Q31" s="1" t="n">
        <v>497.666602435538</v>
      </c>
    </row>
    <row r="32" customFormat="false" ht="15" hidden="false" customHeight="false" outlineLevel="0" collapsed="false">
      <c r="A32" s="2" t="n">
        <v>1997</v>
      </c>
      <c r="B32" s="2" t="n">
        <v>3</v>
      </c>
      <c r="C32" s="2" t="n">
        <v>9.57592002765096</v>
      </c>
      <c r="F32" s="2" t="n">
        <v>11.0439151914677</v>
      </c>
      <c r="K32" s="2" t="n">
        <v>9.89630709295551</v>
      </c>
      <c r="M32" s="2" t="n">
        <v>8.00589890138488</v>
      </c>
      <c r="O32" s="2" t="n">
        <v>25.0075022506752</v>
      </c>
      <c r="P32" s="2" t="n">
        <v>4098.33333333333</v>
      </c>
      <c r="Q32" s="1" t="n">
        <v>501.673280498147</v>
      </c>
    </row>
    <row r="33" customFormat="false" ht="15" hidden="false" customHeight="false" outlineLevel="0" collapsed="false">
      <c r="A33" s="2" t="n">
        <v>1997</v>
      </c>
      <c r="B33" s="2" t="n">
        <v>4</v>
      </c>
      <c r="C33" s="2" t="n">
        <v>9.57592002765096</v>
      </c>
      <c r="F33" s="2" t="n">
        <v>11.0439151914677</v>
      </c>
      <c r="K33" s="2" t="n">
        <v>9.89630709295551</v>
      </c>
      <c r="M33" s="2" t="n">
        <v>8.00589890138488</v>
      </c>
      <c r="O33" s="2" t="n">
        <v>25.0075022506752</v>
      </c>
      <c r="P33" s="2" t="n">
        <v>4340.33333333333</v>
      </c>
      <c r="Q33" s="1" t="n">
        <v>505.894833674552</v>
      </c>
    </row>
    <row r="34" customFormat="false" ht="15" hidden="false" customHeight="false" outlineLevel="0" collapsed="false">
      <c r="A34" s="2" t="n">
        <v>1998</v>
      </c>
      <c r="B34" s="2" t="n">
        <v>1</v>
      </c>
      <c r="C34" s="2" t="n">
        <v>11.9004928701865</v>
      </c>
      <c r="F34" s="2" t="n">
        <v>13.4581877115662</v>
      </c>
      <c r="K34" s="2" t="n">
        <v>11.9622906083628</v>
      </c>
      <c r="M34" s="2" t="n">
        <v>10.3453114639431</v>
      </c>
      <c r="O34" s="2" t="n">
        <v>18.3607520564042</v>
      </c>
      <c r="P34" s="2" t="n">
        <v>4655</v>
      </c>
      <c r="Q34" s="1" t="n">
        <v>375.83202590354</v>
      </c>
    </row>
    <row r="35" customFormat="false" ht="15" hidden="false" customHeight="false" outlineLevel="0" collapsed="false">
      <c r="A35" s="2" t="n">
        <v>1998</v>
      </c>
      <c r="B35" s="2" t="n">
        <v>2</v>
      </c>
      <c r="C35" s="2" t="n">
        <v>11.9004928701865</v>
      </c>
      <c r="F35" s="2" t="n">
        <v>13.4581877115662</v>
      </c>
      <c r="K35" s="2" t="n">
        <v>11.9622906083628</v>
      </c>
      <c r="M35" s="2" t="n">
        <v>10.3453114639431</v>
      </c>
      <c r="O35" s="2" t="n">
        <v>18.3607520564042</v>
      </c>
      <c r="P35" s="2" t="n">
        <v>5192.66666666667</v>
      </c>
      <c r="Q35" s="1" t="n">
        <v>378.85398812184</v>
      </c>
    </row>
    <row r="36" customFormat="false" ht="15" hidden="false" customHeight="false" outlineLevel="0" collapsed="false">
      <c r="A36" s="2" t="n">
        <v>1998</v>
      </c>
      <c r="B36" s="2" t="n">
        <v>3</v>
      </c>
      <c r="C36" s="2" t="n">
        <v>11.9004928701865</v>
      </c>
      <c r="F36" s="2" t="n">
        <v>13.4581877115662</v>
      </c>
      <c r="K36" s="2" t="n">
        <v>11.9622906083628</v>
      </c>
      <c r="M36" s="2" t="n">
        <v>10.3453114639431</v>
      </c>
      <c r="O36" s="2" t="n">
        <v>18.3607520564042</v>
      </c>
      <c r="P36" s="2" t="n">
        <v>5700.33333333333</v>
      </c>
      <c r="Q36" s="1" t="n">
        <v>381.904114362401</v>
      </c>
    </row>
    <row r="37" customFormat="false" ht="15" hidden="false" customHeight="false" outlineLevel="0" collapsed="false">
      <c r="A37" s="2" t="n">
        <v>1998</v>
      </c>
      <c r="B37" s="2" t="n">
        <v>4</v>
      </c>
      <c r="C37" s="2" t="n">
        <v>11.9004928701865</v>
      </c>
      <c r="F37" s="2" t="n">
        <v>13.4581877115662</v>
      </c>
      <c r="K37" s="2" t="n">
        <v>11.9622906083628</v>
      </c>
      <c r="M37" s="2" t="n">
        <v>10.3453114639431</v>
      </c>
      <c r="O37" s="2" t="n">
        <v>18.3607520564042</v>
      </c>
      <c r="P37" s="2" t="n">
        <v>6676</v>
      </c>
      <c r="Q37" s="1" t="n">
        <v>385.117816566091</v>
      </c>
    </row>
    <row r="38" customFormat="false" ht="15" hidden="false" customHeight="false" outlineLevel="0" collapsed="false">
      <c r="A38" s="2" t="n">
        <v>1999</v>
      </c>
      <c r="B38" s="2" t="n">
        <v>1</v>
      </c>
      <c r="C38" s="2" t="n">
        <v>19.8418443183828</v>
      </c>
      <c r="F38" s="2" t="n">
        <v>22.4278950934591</v>
      </c>
      <c r="K38" s="2" t="n">
        <v>19.995524022658</v>
      </c>
      <c r="M38" s="2" t="n">
        <v>17.2968174718679</v>
      </c>
      <c r="O38" s="2" t="n">
        <v>8.40703500689377</v>
      </c>
      <c r="P38" s="2" t="n">
        <v>8892</v>
      </c>
      <c r="Q38" s="1" t="n">
        <v>212.559396642029</v>
      </c>
    </row>
    <row r="39" customFormat="false" ht="15" hidden="false" customHeight="false" outlineLevel="0" collapsed="false">
      <c r="A39" s="2" t="n">
        <v>1999</v>
      </c>
      <c r="B39" s="2" t="n">
        <v>2</v>
      </c>
      <c r="C39" s="2" t="n">
        <v>19.8418443183828</v>
      </c>
      <c r="F39" s="2" t="n">
        <v>22.4278950934591</v>
      </c>
      <c r="K39" s="2" t="n">
        <v>19.995524022658</v>
      </c>
      <c r="M39" s="2" t="n">
        <v>17.2968174718679</v>
      </c>
      <c r="O39" s="2" t="n">
        <v>8.40703500689377</v>
      </c>
      <c r="P39" s="2" t="n">
        <v>9879</v>
      </c>
      <c r="Q39" s="1" t="n">
        <v>214.268528439013</v>
      </c>
    </row>
    <row r="40" customFormat="false" ht="15" hidden="false" customHeight="false" outlineLevel="0" collapsed="false">
      <c r="A40" s="2" t="n">
        <v>1999</v>
      </c>
      <c r="B40" s="2" t="n">
        <v>3</v>
      </c>
      <c r="C40" s="2" t="n">
        <v>19.8418443183828</v>
      </c>
      <c r="F40" s="2" t="n">
        <v>22.4278950934591</v>
      </c>
      <c r="K40" s="2" t="n">
        <v>19.995524022658</v>
      </c>
      <c r="M40" s="2" t="n">
        <v>17.2968174718679</v>
      </c>
      <c r="O40" s="2" t="n">
        <v>8.40703500689377</v>
      </c>
      <c r="P40" s="2" t="n">
        <v>12121.6666666667</v>
      </c>
      <c r="Q40" s="1" t="n">
        <v>215.993588967895</v>
      </c>
    </row>
    <row r="41" customFormat="false" ht="15" hidden="false" customHeight="false" outlineLevel="0" collapsed="false">
      <c r="A41" s="2" t="n">
        <v>1999</v>
      </c>
      <c r="B41" s="2" t="n">
        <v>4</v>
      </c>
      <c r="C41" s="2" t="n">
        <v>19.8418443183828</v>
      </c>
      <c r="F41" s="2" t="n">
        <v>22.4278950934591</v>
      </c>
      <c r="K41" s="2" t="n">
        <v>19.995524022658</v>
      </c>
      <c r="M41" s="2" t="n">
        <v>17.2968174718679</v>
      </c>
      <c r="O41" s="2" t="n">
        <v>8.40703500689377</v>
      </c>
      <c r="P41" s="2" t="n">
        <v>17926.3333333333</v>
      </c>
      <c r="Q41" s="1" t="n">
        <v>217.811163188083</v>
      </c>
    </row>
    <row r="42" customFormat="false" ht="15" hidden="false" customHeight="false" outlineLevel="0" collapsed="false">
      <c r="A42" s="2" t="n">
        <v>2000</v>
      </c>
      <c r="B42" s="2" t="n">
        <v>1</v>
      </c>
      <c r="C42" s="2" t="n">
        <v>38.8716250483839</v>
      </c>
      <c r="F42" s="2" t="n">
        <v>43.510914870855</v>
      </c>
      <c r="K42" s="2" t="n">
        <v>39.3791267135266</v>
      </c>
      <c r="M42" s="2" t="n">
        <v>36.0550941740369</v>
      </c>
      <c r="O42" s="2" t="n">
        <v>4</v>
      </c>
      <c r="Q42" s="1" t="n">
        <v>108.499977845816</v>
      </c>
    </row>
    <row r="43" customFormat="false" ht="15" hidden="false" customHeight="false" outlineLevel="0" collapsed="false">
      <c r="A43" s="2" t="n">
        <v>2000</v>
      </c>
      <c r="B43" s="2" t="n">
        <v>2</v>
      </c>
      <c r="C43" s="2" t="n">
        <v>38.8716250483839</v>
      </c>
      <c r="F43" s="2" t="n">
        <v>43.510914870855</v>
      </c>
      <c r="K43" s="2" t="n">
        <v>39.3791267135266</v>
      </c>
      <c r="M43" s="2" t="n">
        <v>36.0550941740369</v>
      </c>
      <c r="O43" s="2" t="n">
        <v>56.7</v>
      </c>
      <c r="Q43" s="1" t="n">
        <v>109.372396402878</v>
      </c>
    </row>
    <row r="44" customFormat="false" ht="15" hidden="false" customHeight="false" outlineLevel="0" collapsed="false">
      <c r="A44" s="2" t="n">
        <v>2000</v>
      </c>
      <c r="B44" s="2" t="n">
        <v>3</v>
      </c>
      <c r="C44" s="2" t="n">
        <v>38.8716250483839</v>
      </c>
      <c r="F44" s="2" t="n">
        <v>43.510914870855</v>
      </c>
      <c r="K44" s="2" t="n">
        <v>39.3791267135266</v>
      </c>
      <c r="M44" s="2" t="n">
        <v>36.0550941740369</v>
      </c>
      <c r="O44" s="2" t="n">
        <v>56.7</v>
      </c>
      <c r="Q44" s="1" t="n">
        <v>110.252945708734</v>
      </c>
    </row>
    <row r="45" customFormat="false" ht="15" hidden="false" customHeight="false" outlineLevel="0" collapsed="false">
      <c r="A45" s="2" t="n">
        <v>2000</v>
      </c>
      <c r="B45" s="2" t="n">
        <v>4</v>
      </c>
      <c r="C45" s="2" t="n">
        <v>38.8716250483839</v>
      </c>
      <c r="F45" s="2" t="n">
        <v>43.510914870855</v>
      </c>
      <c r="K45" s="2" t="n">
        <v>39.3791267135266</v>
      </c>
      <c r="M45" s="2" t="n">
        <v>36.0550941740369</v>
      </c>
      <c r="O45" s="2" t="n">
        <v>56.7</v>
      </c>
      <c r="Q45" s="1" t="n">
        <v>111.180718207805</v>
      </c>
    </row>
    <row r="46" customFormat="false" ht="15" hidden="false" customHeight="false" outlineLevel="0" collapsed="false">
      <c r="A46" s="2" t="n">
        <v>2001</v>
      </c>
      <c r="B46" s="2" t="n">
        <v>1</v>
      </c>
      <c r="C46" s="2" t="n">
        <v>53.5155139350264</v>
      </c>
      <c r="F46" s="2" t="n">
        <v>59.776795473756</v>
      </c>
      <c r="K46" s="2" t="n">
        <v>53.7628333632894</v>
      </c>
      <c r="M46" s="2" t="n">
        <v>52.6191092534036</v>
      </c>
      <c r="O46" s="2" t="n">
        <v>85.65</v>
      </c>
      <c r="Q46" s="1" t="n">
        <v>78.810239245784</v>
      </c>
    </row>
    <row r="47" customFormat="false" ht="15" hidden="false" customHeight="false" outlineLevel="0" collapsed="false">
      <c r="A47" s="2" t="n">
        <v>2001</v>
      </c>
      <c r="B47" s="2" t="n">
        <v>2</v>
      </c>
      <c r="C47" s="2" t="n">
        <v>53.5155139350264</v>
      </c>
      <c r="F47" s="2" t="n">
        <v>59.776795473756</v>
      </c>
      <c r="K47" s="2" t="n">
        <v>53.7628333632894</v>
      </c>
      <c r="M47" s="2" t="n">
        <v>52.6191092534036</v>
      </c>
      <c r="O47" s="2" t="n">
        <v>85.65</v>
      </c>
      <c r="Q47" s="1" t="n">
        <v>79.4439307595483</v>
      </c>
    </row>
    <row r="48" customFormat="false" ht="15" hidden="false" customHeight="false" outlineLevel="0" collapsed="false">
      <c r="A48" s="2" t="n">
        <v>2001</v>
      </c>
      <c r="B48" s="2" t="n">
        <v>3</v>
      </c>
      <c r="C48" s="2" t="n">
        <v>53.5155139350264</v>
      </c>
      <c r="F48" s="2" t="n">
        <v>59.776795473756</v>
      </c>
      <c r="K48" s="2" t="n">
        <v>53.7628333632894</v>
      </c>
      <c r="M48" s="2" t="n">
        <v>52.6191092534036</v>
      </c>
      <c r="O48" s="2" t="n">
        <v>85.65</v>
      </c>
      <c r="Q48" s="1" t="n">
        <v>80.083528138645</v>
      </c>
    </row>
    <row r="49" customFormat="false" ht="15" hidden="false" customHeight="false" outlineLevel="0" collapsed="false">
      <c r="A49" s="2" t="n">
        <v>2001</v>
      </c>
      <c r="B49" s="2" t="n">
        <v>4</v>
      </c>
      <c r="C49" s="2" t="n">
        <v>53.5155139350264</v>
      </c>
      <c r="F49" s="2" t="n">
        <v>59.776795473756</v>
      </c>
      <c r="K49" s="2" t="n">
        <v>53.7628333632894</v>
      </c>
      <c r="M49" s="2" t="n">
        <v>52.6191092534036</v>
      </c>
      <c r="O49" s="2" t="n">
        <v>85.65</v>
      </c>
      <c r="Q49" s="1" t="n">
        <v>80.7574266413831</v>
      </c>
    </row>
    <row r="50" customFormat="false" ht="15" hidden="false" customHeight="false" outlineLevel="0" collapsed="false">
      <c r="A50" s="2" t="n">
        <v>2002</v>
      </c>
      <c r="B50" s="2" t="n">
        <v>1</v>
      </c>
      <c r="C50" s="2" t="n">
        <v>60.226519090537</v>
      </c>
      <c r="F50" s="2" t="n">
        <v>65.2043067627984</v>
      </c>
      <c r="K50" s="2" t="n">
        <v>60.3916500943338</v>
      </c>
      <c r="M50" s="2" t="n">
        <v>62.4618824306728</v>
      </c>
      <c r="O50" s="2" t="n">
        <v>104.88</v>
      </c>
      <c r="Q50" s="1" t="n">
        <v>70.0284612205522</v>
      </c>
    </row>
    <row r="51" customFormat="false" ht="15" hidden="false" customHeight="false" outlineLevel="0" collapsed="false">
      <c r="A51" s="2" t="n">
        <v>2002</v>
      </c>
      <c r="B51" s="2" t="n">
        <v>2</v>
      </c>
      <c r="C51" s="2" t="n">
        <v>60.226519090537</v>
      </c>
      <c r="F51" s="2" t="n">
        <v>65.2043067627984</v>
      </c>
      <c r="K51" s="2" t="n">
        <v>60.3916500943338</v>
      </c>
      <c r="M51" s="2" t="n">
        <v>62.4618824306728</v>
      </c>
      <c r="O51" s="2" t="n">
        <v>104.88</v>
      </c>
      <c r="Q51" s="1" t="n">
        <v>70.5915408663206</v>
      </c>
    </row>
    <row r="52" customFormat="false" ht="15" hidden="false" customHeight="false" outlineLevel="0" collapsed="false">
      <c r="A52" s="2" t="n">
        <v>2002</v>
      </c>
      <c r="B52" s="2" t="n">
        <v>3</v>
      </c>
      <c r="C52" s="2" t="n">
        <v>60.226519090537</v>
      </c>
      <c r="F52" s="2" t="n">
        <v>65.2043067627984</v>
      </c>
      <c r="K52" s="2" t="n">
        <v>60.3916500943338</v>
      </c>
      <c r="M52" s="2" t="n">
        <v>62.4618824306728</v>
      </c>
      <c r="O52" s="2" t="n">
        <v>104.88</v>
      </c>
      <c r="Q52" s="1" t="n">
        <v>71.1598682903644</v>
      </c>
    </row>
    <row r="53" customFormat="false" ht="15" hidden="false" customHeight="false" outlineLevel="0" collapsed="false">
      <c r="A53" s="2" t="n">
        <v>2002</v>
      </c>
      <c r="B53" s="2" t="n">
        <v>4</v>
      </c>
      <c r="C53" s="2" t="n">
        <v>60.226519090537</v>
      </c>
      <c r="F53" s="2" t="n">
        <v>65.2043067627984</v>
      </c>
      <c r="K53" s="2" t="n">
        <v>60.3916500943338</v>
      </c>
      <c r="M53" s="2" t="n">
        <v>62.4618824306728</v>
      </c>
      <c r="O53" s="2" t="n">
        <v>104.88</v>
      </c>
      <c r="Q53" s="1" t="n">
        <v>71.7586746842698</v>
      </c>
    </row>
    <row r="54" customFormat="false" ht="15" hidden="false" customHeight="false" outlineLevel="0" collapsed="false">
      <c r="A54" s="2" t="n">
        <v>2003</v>
      </c>
      <c r="B54" s="2" t="n">
        <v>1</v>
      </c>
      <c r="C54" s="2" t="n">
        <v>65.0259739679457</v>
      </c>
      <c r="F54" s="2" t="n">
        <v>69.4439721658191</v>
      </c>
      <c r="K54" s="2" t="n">
        <v>65.1367308362854</v>
      </c>
      <c r="M54" s="2" t="n">
        <v>66.0546605581775</v>
      </c>
      <c r="O54" s="2" t="n">
        <v>129.91</v>
      </c>
      <c r="Q54" s="1" t="n">
        <v>64.8597813953475</v>
      </c>
    </row>
    <row r="55" customFormat="false" ht="15" hidden="false" customHeight="false" outlineLevel="0" collapsed="false">
      <c r="A55" s="2" t="n">
        <v>2003</v>
      </c>
      <c r="B55" s="2" t="n">
        <v>2</v>
      </c>
      <c r="C55" s="2" t="n">
        <v>65.0259739679457</v>
      </c>
      <c r="F55" s="2" t="n">
        <v>69.4439721658191</v>
      </c>
      <c r="K55" s="2" t="n">
        <v>65.1367308362854</v>
      </c>
      <c r="M55" s="2" t="n">
        <v>66.0546605581775</v>
      </c>
      <c r="O55" s="2" t="n">
        <v>129.91</v>
      </c>
      <c r="Q55" s="1" t="n">
        <v>65.3813011045653</v>
      </c>
    </row>
    <row r="56" customFormat="false" ht="15" hidden="false" customHeight="false" outlineLevel="0" collapsed="false">
      <c r="A56" s="2" t="n">
        <v>2003</v>
      </c>
      <c r="B56" s="2" t="n">
        <v>3</v>
      </c>
      <c r="C56" s="2" t="n">
        <v>65.0259739679457</v>
      </c>
      <c r="F56" s="2" t="n">
        <v>69.4439721658191</v>
      </c>
      <c r="K56" s="2" t="n">
        <v>65.1367308362854</v>
      </c>
      <c r="M56" s="2" t="n">
        <v>66.0546605581775</v>
      </c>
      <c r="O56" s="2" t="n">
        <v>129.91</v>
      </c>
      <c r="Q56" s="1" t="n">
        <v>65.9076812626037</v>
      </c>
    </row>
    <row r="57" customFormat="false" ht="15" hidden="false" customHeight="false" outlineLevel="0" collapsed="false">
      <c r="A57" s="2" t="n">
        <v>2003</v>
      </c>
      <c r="B57" s="2" t="n">
        <v>4</v>
      </c>
      <c r="C57" s="2" t="n">
        <v>65.0259739679457</v>
      </c>
      <c r="F57" s="2" t="n">
        <v>69.4439721658191</v>
      </c>
      <c r="K57" s="2" t="n">
        <v>65.1367308362854</v>
      </c>
      <c r="M57" s="2" t="n">
        <v>66.0546605581775</v>
      </c>
      <c r="O57" s="2" t="n">
        <v>129.91</v>
      </c>
      <c r="Q57" s="1" t="n">
        <v>66.4622907903573</v>
      </c>
    </row>
    <row r="58" customFormat="false" ht="15" hidden="false" customHeight="false" outlineLevel="0" collapsed="false">
      <c r="A58" s="2" t="n">
        <v>2004</v>
      </c>
      <c r="B58" s="2" t="n">
        <v>1</v>
      </c>
      <c r="C58" s="2" t="n">
        <v>66.7443033813257</v>
      </c>
      <c r="F58" s="2" t="n">
        <v>70.4256049489451</v>
      </c>
      <c r="K58" s="2" t="n">
        <v>66.9471973133607</v>
      </c>
      <c r="M58" s="2" t="n">
        <v>67.3479049100071</v>
      </c>
      <c r="O58" s="2" t="n">
        <v>135.63</v>
      </c>
      <c r="Q58" s="1" t="n">
        <v>63.1899689249067</v>
      </c>
    </row>
    <row r="59" customFormat="false" ht="15" hidden="false" customHeight="false" outlineLevel="0" collapsed="false">
      <c r="A59" s="2" t="n">
        <v>2004</v>
      </c>
      <c r="B59" s="2" t="n">
        <v>2</v>
      </c>
      <c r="C59" s="2" t="n">
        <v>66.7443033813257</v>
      </c>
      <c r="F59" s="2" t="n">
        <v>70.4256049489451</v>
      </c>
      <c r="K59" s="2" t="n">
        <v>66.9471973133607</v>
      </c>
      <c r="M59" s="2" t="n">
        <v>67.3479049100071</v>
      </c>
      <c r="O59" s="2" t="n">
        <v>135.63</v>
      </c>
      <c r="Q59" s="1" t="n">
        <v>63.6980621301293</v>
      </c>
    </row>
    <row r="60" customFormat="false" ht="15" hidden="false" customHeight="false" outlineLevel="0" collapsed="false">
      <c r="A60" s="2" t="n">
        <v>2004</v>
      </c>
      <c r="B60" s="2" t="n">
        <v>3</v>
      </c>
      <c r="C60" s="2" t="n">
        <v>66.7443033813257</v>
      </c>
      <c r="F60" s="2" t="n">
        <v>70.4256049489451</v>
      </c>
      <c r="K60" s="2" t="n">
        <v>66.9471973133607</v>
      </c>
      <c r="M60" s="2" t="n">
        <v>67.3479049100071</v>
      </c>
      <c r="O60" s="2" t="n">
        <v>135.63</v>
      </c>
      <c r="Q60" s="1" t="n">
        <v>64.2108906521126</v>
      </c>
    </row>
    <row r="61" customFormat="false" ht="15" hidden="false" customHeight="false" outlineLevel="0" collapsed="false">
      <c r="A61" s="2" t="n">
        <v>2004</v>
      </c>
      <c r="B61" s="2" t="n">
        <v>4</v>
      </c>
      <c r="C61" s="2" t="n">
        <v>66.7443033813257</v>
      </c>
      <c r="F61" s="2" t="n">
        <v>70.4256049489451</v>
      </c>
      <c r="K61" s="2" t="n">
        <v>66.9471973133607</v>
      </c>
      <c r="M61" s="2" t="n">
        <v>67.3479049100071</v>
      </c>
      <c r="O61" s="2" t="n">
        <v>135.63</v>
      </c>
      <c r="Q61" s="1" t="n">
        <v>64.75122177982</v>
      </c>
    </row>
    <row r="62" customFormat="false" ht="15" hidden="false" customHeight="false" outlineLevel="0" collapsed="false">
      <c r="A62" s="2" t="n">
        <v>2005</v>
      </c>
      <c r="B62" s="2" t="n">
        <v>1</v>
      </c>
      <c r="C62" s="2" t="n">
        <v>67.3028014012988</v>
      </c>
      <c r="D62" s="2" t="n">
        <v>66.7844610698801</v>
      </c>
      <c r="E62" s="2" t="n">
        <v>67.8988478665053</v>
      </c>
      <c r="F62" s="2" t="n">
        <v>70.5982842006988</v>
      </c>
      <c r="G62" s="2" t="n">
        <v>65.8243109095352</v>
      </c>
      <c r="H62" s="2" t="n">
        <v>64.9582750837772</v>
      </c>
      <c r="I62" s="2" t="n">
        <v>63.8004683498976</v>
      </c>
      <c r="K62" s="2" t="n">
        <v>67.5953157620302</v>
      </c>
      <c r="L62" s="2" t="n">
        <v>65.7057471346606</v>
      </c>
      <c r="M62" s="2" t="n">
        <v>68.6373787009764</v>
      </c>
      <c r="N62" s="2" t="n">
        <v>64.5593213596856</v>
      </c>
      <c r="O62" s="2" t="n">
        <v>150</v>
      </c>
      <c r="Q62" s="1" t="n">
        <v>62.6656003727525</v>
      </c>
    </row>
    <row r="63" customFormat="false" ht="15" hidden="false" customHeight="false" outlineLevel="0" collapsed="false">
      <c r="A63" s="2" t="n">
        <v>2005</v>
      </c>
      <c r="B63" s="2" t="n">
        <v>2</v>
      </c>
      <c r="C63" s="2" t="n">
        <v>68.142548825198</v>
      </c>
      <c r="D63" s="2" t="n">
        <v>67.385250534146</v>
      </c>
      <c r="E63" s="2" t="n">
        <v>69.0207332758457</v>
      </c>
      <c r="F63" s="2" t="n">
        <v>71.6774618044412</v>
      </c>
      <c r="G63" s="2" t="n">
        <v>67.2317291016983</v>
      </c>
      <c r="H63" s="2" t="n">
        <v>65.964466001365</v>
      </c>
      <c r="I63" s="2" t="n">
        <v>64.7882039204396</v>
      </c>
      <c r="K63" s="2" t="n">
        <v>68.1442662654636</v>
      </c>
      <c r="L63" s="2" t="n">
        <v>66.1140219171536</v>
      </c>
      <c r="M63" s="2" t="n">
        <v>69.2677326902014</v>
      </c>
      <c r="N63" s="2" t="n">
        <v>65.4950661631702</v>
      </c>
      <c r="O63" s="2" t="n">
        <v>150</v>
      </c>
      <c r="Q63" s="1" t="n">
        <v>62.39101496661</v>
      </c>
    </row>
    <row r="64" customFormat="false" ht="15" hidden="false" customHeight="false" outlineLevel="0" collapsed="false">
      <c r="A64" s="2" t="n">
        <v>2005</v>
      </c>
      <c r="B64" s="2" t="n">
        <v>3</v>
      </c>
      <c r="C64" s="2" t="n">
        <v>68.2043817251393</v>
      </c>
      <c r="D64" s="2" t="n">
        <v>67.7329601874574</v>
      </c>
      <c r="E64" s="2" t="n">
        <v>68.7413883144839</v>
      </c>
      <c r="F64" s="2" t="n">
        <v>71.2458388093065</v>
      </c>
      <c r="G64" s="2" t="n">
        <v>66.7881615608442</v>
      </c>
      <c r="H64" s="2" t="n">
        <v>66.0084940282901</v>
      </c>
      <c r="I64" s="2" t="n">
        <v>64.9608748589663</v>
      </c>
      <c r="K64" s="2" t="n">
        <v>68.6194999319338</v>
      </c>
      <c r="L64" s="2" t="n">
        <v>66.6405270106122</v>
      </c>
      <c r="M64" s="2" t="n">
        <v>69.1358529558308</v>
      </c>
      <c r="N64" s="2" t="n">
        <v>65.5348149675235</v>
      </c>
      <c r="O64" s="2" t="n">
        <v>150</v>
      </c>
      <c r="Q64" s="1" t="n">
        <v>62.8363025610431</v>
      </c>
    </row>
    <row r="65" customFormat="false" ht="15" hidden="false" customHeight="false" outlineLevel="0" collapsed="false">
      <c r="A65" s="2" t="n">
        <v>2005</v>
      </c>
      <c r="B65" s="2" t="n">
        <v>4</v>
      </c>
      <c r="C65" s="2" t="n">
        <v>68.8812682870698</v>
      </c>
      <c r="D65" s="2" t="n">
        <v>68.6286426488355</v>
      </c>
      <c r="E65" s="2" t="n">
        <v>69.1559001926337</v>
      </c>
      <c r="F65" s="2" t="n">
        <v>71.432182667922</v>
      </c>
      <c r="G65" s="2" t="n">
        <v>67.7428908173934</v>
      </c>
      <c r="H65" s="2" t="n">
        <v>66.2577251873204</v>
      </c>
      <c r="I65" s="2" t="n">
        <v>65.5015055476221</v>
      </c>
      <c r="K65" s="2" t="n">
        <v>69.4874772024556</v>
      </c>
      <c r="L65" s="2" t="n">
        <v>67.7609076700819</v>
      </c>
      <c r="M65" s="2" t="n">
        <v>69.8081016340435</v>
      </c>
      <c r="N65" s="2" t="n">
        <v>66.3847021708162</v>
      </c>
      <c r="O65" s="2" t="n">
        <v>150</v>
      </c>
      <c r="Q65" s="1" t="n">
        <v>62.7423869835318</v>
      </c>
    </row>
    <row r="66" customFormat="false" ht="15" hidden="false" customHeight="false" outlineLevel="0" collapsed="false">
      <c r="A66" s="2" t="n">
        <v>2006</v>
      </c>
      <c r="B66" s="2" t="n">
        <v>1</v>
      </c>
      <c r="C66" s="2" t="n">
        <v>69.8660282124394</v>
      </c>
      <c r="D66" s="2" t="n">
        <v>69.4516131199576</v>
      </c>
      <c r="E66" s="2" t="n">
        <v>70.3330011578998</v>
      </c>
      <c r="F66" s="2" t="n">
        <v>72.3965598452432</v>
      </c>
      <c r="G66" s="2" t="n">
        <v>69.3992679094449</v>
      </c>
      <c r="H66" s="2" t="n">
        <v>67.1721690826088</v>
      </c>
      <c r="I66" s="2" t="n">
        <v>66.8265719648604</v>
      </c>
      <c r="K66" s="2" t="n">
        <v>70.2279100745041</v>
      </c>
      <c r="L66" s="2" t="n">
        <v>68.7073766657084</v>
      </c>
      <c r="M66" s="2" t="n">
        <v>70.7265385295279</v>
      </c>
      <c r="N66" s="2" t="n">
        <v>67.2845399051608</v>
      </c>
      <c r="O66" s="2" t="n">
        <v>160</v>
      </c>
      <c r="Q66" s="1" t="n">
        <v>79.4592144323158</v>
      </c>
    </row>
    <row r="67" customFormat="false" ht="15" hidden="false" customHeight="false" outlineLevel="0" collapsed="false">
      <c r="A67" s="2" t="n">
        <v>2006</v>
      </c>
      <c r="B67" s="2" t="n">
        <v>2</v>
      </c>
      <c r="C67" s="2" t="n">
        <v>70.262819184092</v>
      </c>
      <c r="D67" s="2" t="n">
        <v>69.6285339498481</v>
      </c>
      <c r="E67" s="2" t="n">
        <v>70.9940816466147</v>
      </c>
      <c r="F67" s="2" t="n">
        <v>73.1294173381218</v>
      </c>
      <c r="G67" s="2" t="n">
        <v>70.0934610015345</v>
      </c>
      <c r="H67" s="2" t="n">
        <v>67.8672612153898</v>
      </c>
      <c r="I67" s="2" t="n">
        <v>67.2621758282702</v>
      </c>
      <c r="K67" s="2" t="n">
        <v>70.565181844884</v>
      </c>
      <c r="L67" s="2" t="n">
        <v>68.5977061942386</v>
      </c>
      <c r="M67" s="2" t="n">
        <v>71.1188654661508</v>
      </c>
      <c r="N67" s="2" t="n">
        <v>67.1715484504332</v>
      </c>
      <c r="O67" s="2" t="n">
        <v>160</v>
      </c>
      <c r="Q67" s="1" t="n">
        <v>79.6457908824873</v>
      </c>
    </row>
    <row r="68" customFormat="false" ht="15" hidden="false" customHeight="false" outlineLevel="0" collapsed="false">
      <c r="A68" s="2" t="n">
        <v>2006</v>
      </c>
      <c r="B68" s="2" t="n">
        <v>3</v>
      </c>
      <c r="C68" s="2" t="n">
        <v>70.3781526684495</v>
      </c>
      <c r="D68" s="2" t="n">
        <v>70.0038497366907</v>
      </c>
      <c r="E68" s="2" t="n">
        <v>70.7995607557717</v>
      </c>
      <c r="F68" s="2" t="n">
        <v>72.9298484741999</v>
      </c>
      <c r="G68" s="2" t="n">
        <v>69.3907579435277</v>
      </c>
      <c r="H68" s="2" t="n">
        <v>67.3139371126224</v>
      </c>
      <c r="I68" s="2" t="n">
        <v>67.6682619217234</v>
      </c>
      <c r="K68" s="2" t="n">
        <v>70.7398896951151</v>
      </c>
      <c r="L68" s="2" t="n">
        <v>69.6942791455547</v>
      </c>
      <c r="M68" s="2" t="n">
        <v>71.1161263668432</v>
      </c>
      <c r="N68" s="2" t="n">
        <v>67.5903470068965</v>
      </c>
      <c r="O68" s="2" t="n">
        <v>160</v>
      </c>
      <c r="Q68" s="1" t="n">
        <v>80.1554416118562</v>
      </c>
    </row>
    <row r="69" customFormat="false" ht="15" hidden="false" customHeight="false" outlineLevel="0" collapsed="false">
      <c r="A69" s="2" t="n">
        <v>2006</v>
      </c>
      <c r="B69" s="2" t="n">
        <v>4</v>
      </c>
      <c r="C69" s="2" t="n">
        <v>71.0141123541591</v>
      </c>
      <c r="D69" s="2" t="n">
        <v>70.8180329899446</v>
      </c>
      <c r="E69" s="2" t="n">
        <v>71.2229135104805</v>
      </c>
      <c r="F69" s="2" t="n">
        <v>73.3455367150981</v>
      </c>
      <c r="G69" s="2" t="n">
        <v>69.923513239367</v>
      </c>
      <c r="H69" s="2" t="n">
        <v>67.9502963297898</v>
      </c>
      <c r="I69" s="2" t="n">
        <v>67.9469734597448</v>
      </c>
      <c r="K69" s="2" t="n">
        <v>71.4863562688918</v>
      </c>
      <c r="L69" s="2" t="n">
        <v>70.9267678222961</v>
      </c>
      <c r="M69" s="2" t="n">
        <v>71.4977361556076</v>
      </c>
      <c r="N69" s="2" t="n">
        <v>68.390690201084</v>
      </c>
      <c r="O69" s="2" t="n">
        <v>160</v>
      </c>
      <c r="Q69" s="1" t="n">
        <v>80.1060808800739</v>
      </c>
    </row>
    <row r="70" customFormat="false" ht="15" hidden="false" customHeight="false" outlineLevel="0" collapsed="false">
      <c r="A70" s="2" t="n">
        <v>2007</v>
      </c>
      <c r="B70" s="2" t="n">
        <v>1</v>
      </c>
      <c r="C70" s="2" t="n">
        <v>71.3039474435275</v>
      </c>
      <c r="D70" s="2" t="n">
        <v>70.9332896542716</v>
      </c>
      <c r="E70" s="2" t="n">
        <v>71.7206875989264</v>
      </c>
      <c r="F70" s="2" t="n">
        <v>73.7782398484169</v>
      </c>
      <c r="G70" s="2" t="n">
        <v>70.5722699232438</v>
      </c>
      <c r="H70" s="2" t="n">
        <v>68.6323108309463</v>
      </c>
      <c r="I70" s="2" t="n">
        <v>68.4148483972449</v>
      </c>
      <c r="K70" s="2" t="n">
        <v>71.5682639907576</v>
      </c>
      <c r="L70" s="2" t="n">
        <v>70.9357060877477</v>
      </c>
      <c r="M70" s="2" t="n">
        <v>71.8767522955141</v>
      </c>
      <c r="N70" s="2" t="n">
        <v>68.5811985729504</v>
      </c>
      <c r="O70" s="2" t="n">
        <v>170</v>
      </c>
      <c r="Q70" s="1" t="n">
        <v>78.5580026568857</v>
      </c>
    </row>
    <row r="71" customFormat="false" ht="15" hidden="false" customHeight="false" outlineLevel="0" collapsed="false">
      <c r="A71" s="2" t="n">
        <v>2007</v>
      </c>
      <c r="B71" s="2" t="n">
        <v>2</v>
      </c>
      <c r="C71" s="2" t="n">
        <v>71.4653187847975</v>
      </c>
      <c r="D71" s="2" t="n">
        <v>70.9595895633478</v>
      </c>
      <c r="E71" s="2" t="n">
        <v>72.0429634802564</v>
      </c>
      <c r="F71" s="2" t="n">
        <v>73.9732362070209</v>
      </c>
      <c r="G71" s="2" t="n">
        <v>71.1914469109902</v>
      </c>
      <c r="H71" s="2" t="n">
        <v>68.9228880631813</v>
      </c>
      <c r="I71" s="2" t="n">
        <v>68.7859722432443</v>
      </c>
      <c r="K71" s="2" t="n">
        <v>71.5722929055574</v>
      </c>
      <c r="L71" s="2" t="n">
        <v>71.1395284945776</v>
      </c>
      <c r="M71" s="2" t="n">
        <v>72.0143573809217</v>
      </c>
      <c r="N71" s="2" t="n">
        <v>68.4437063102877</v>
      </c>
      <c r="O71" s="2" t="n">
        <v>170</v>
      </c>
      <c r="Q71" s="1" t="n">
        <v>79.3333255724429</v>
      </c>
    </row>
    <row r="72" customFormat="false" ht="15" hidden="false" customHeight="false" outlineLevel="0" collapsed="false">
      <c r="A72" s="2" t="n">
        <v>2007</v>
      </c>
      <c r="B72" s="2" t="n">
        <v>3</v>
      </c>
      <c r="C72" s="2" t="n">
        <v>72.1618914219933</v>
      </c>
      <c r="D72" s="2" t="n">
        <v>71.9835240104742</v>
      </c>
      <c r="E72" s="2" t="n">
        <v>72.3491838879258</v>
      </c>
      <c r="F72" s="2" t="n">
        <v>74.1532815417187</v>
      </c>
      <c r="G72" s="2" t="n">
        <v>71.6687157516098</v>
      </c>
      <c r="H72" s="2" t="n">
        <v>69.3248748238609</v>
      </c>
      <c r="I72" s="2" t="n">
        <v>69.223744394016</v>
      </c>
      <c r="K72" s="2" t="n">
        <v>72.5531961772653</v>
      </c>
      <c r="L72" s="2" t="n">
        <v>72.2016238411456</v>
      </c>
      <c r="M72" s="2" t="n">
        <v>72.9424116613237</v>
      </c>
      <c r="N72" s="2" t="n">
        <v>69.5977083434611</v>
      </c>
      <c r="O72" s="2" t="n">
        <v>170</v>
      </c>
      <c r="Q72" s="1" t="n">
        <v>79.3793106370988</v>
      </c>
    </row>
    <row r="73" customFormat="false" ht="15" hidden="false" customHeight="false" outlineLevel="0" collapsed="false">
      <c r="A73" s="2" t="n">
        <v>2007</v>
      </c>
      <c r="B73" s="2" t="n">
        <v>4</v>
      </c>
      <c r="C73" s="2" t="n">
        <v>72.9978954822526</v>
      </c>
      <c r="D73" s="2" t="n">
        <v>72.8929613343247</v>
      </c>
      <c r="E73" s="2" t="n">
        <v>73.0973868026866</v>
      </c>
      <c r="F73" s="2" t="n">
        <v>74.8669539019882</v>
      </c>
      <c r="G73" s="2" t="n">
        <v>72.565142773708</v>
      </c>
      <c r="H73" s="2" t="n">
        <v>70.1787845917424</v>
      </c>
      <c r="I73" s="2" t="n">
        <v>69.8884106166822</v>
      </c>
      <c r="K73" s="2" t="n">
        <v>73.444524958276</v>
      </c>
      <c r="L73" s="2" t="n">
        <v>73.1871495169128</v>
      </c>
      <c r="M73" s="2" t="n">
        <v>74.2062137346413</v>
      </c>
      <c r="N73" s="2" t="n">
        <v>70.3151445614565</v>
      </c>
      <c r="O73" s="2" t="n">
        <v>170</v>
      </c>
      <c r="Q73" s="1" t="n">
        <v>79.9018320639328</v>
      </c>
    </row>
    <row r="74" customFormat="false" ht="15" hidden="false" customHeight="false" outlineLevel="0" collapsed="false">
      <c r="A74" s="2" t="n">
        <v>2008</v>
      </c>
      <c r="B74" s="2" t="n">
        <v>1</v>
      </c>
      <c r="C74" s="2" t="n">
        <v>75.0712622958227</v>
      </c>
      <c r="D74" s="2" t="n">
        <v>74.8346507503102</v>
      </c>
      <c r="E74" s="2" t="n">
        <v>75.3269442028951</v>
      </c>
      <c r="F74" s="2" t="n">
        <v>76.9452819598119</v>
      </c>
      <c r="G74" s="2" t="n">
        <v>74.9397990487344</v>
      </c>
      <c r="H74" s="2" t="n">
        <v>73.0624482660029</v>
      </c>
      <c r="I74" s="2" t="n">
        <v>72.1833669492614</v>
      </c>
      <c r="K74" s="2" t="n">
        <v>75.4796971692912</v>
      </c>
      <c r="L74" s="2" t="n">
        <v>75.206263057146</v>
      </c>
      <c r="M74" s="2" t="n">
        <v>75.6282631495168</v>
      </c>
      <c r="N74" s="2" t="n">
        <v>72.156486532773</v>
      </c>
      <c r="O74" s="2" t="n">
        <v>200</v>
      </c>
      <c r="Q74" s="1" t="n">
        <v>76.7001060910241</v>
      </c>
    </row>
    <row r="75" customFormat="false" ht="15" hidden="false" customHeight="false" outlineLevel="0" collapsed="false">
      <c r="A75" s="2" t="n">
        <v>2008</v>
      </c>
      <c r="B75" s="2" t="n">
        <v>2</v>
      </c>
      <c r="C75" s="2" t="n">
        <v>77.935062259733</v>
      </c>
      <c r="D75" s="2" t="n">
        <v>77.4361531124144</v>
      </c>
      <c r="E75" s="2" t="n">
        <v>78.5023146545288</v>
      </c>
      <c r="F75" s="2" t="n">
        <v>79.808391782223</v>
      </c>
      <c r="G75" s="2" t="n">
        <v>78.6188856671636</v>
      </c>
      <c r="H75" s="2" t="n">
        <v>75.7511002882296</v>
      </c>
      <c r="I75" s="2" t="n">
        <v>75.8076125111891</v>
      </c>
      <c r="K75" s="2" t="n">
        <v>77.8804096789292</v>
      </c>
      <c r="L75" s="2" t="n">
        <v>78.2498015279418</v>
      </c>
      <c r="M75" s="2" t="n">
        <v>77.9647594051492</v>
      </c>
      <c r="N75" s="2" t="n">
        <v>75.0209304166118</v>
      </c>
      <c r="O75" s="2" t="n">
        <v>200</v>
      </c>
      <c r="Q75" s="1" t="n">
        <v>76.5910905819068</v>
      </c>
    </row>
    <row r="76" customFormat="false" ht="15" hidden="false" customHeight="false" outlineLevel="0" collapsed="false">
      <c r="A76" s="2" t="n">
        <v>2008</v>
      </c>
      <c r="B76" s="2" t="n">
        <v>3</v>
      </c>
      <c r="C76" s="2" t="n">
        <v>79.3440054454324</v>
      </c>
      <c r="D76" s="2" t="n">
        <v>78.9903621392878</v>
      </c>
      <c r="E76" s="2" t="n">
        <v>79.7376551408683</v>
      </c>
      <c r="F76" s="2" t="n">
        <v>81.0796402619235</v>
      </c>
      <c r="G76" s="2" t="n">
        <v>79.8095036322394</v>
      </c>
      <c r="H76" s="2" t="n">
        <v>76.9304393966044</v>
      </c>
      <c r="I76" s="2" t="n">
        <v>77.0095526173754</v>
      </c>
      <c r="K76" s="2" t="n">
        <v>79.1649226774363</v>
      </c>
      <c r="L76" s="2" t="n">
        <v>79.9115687969527</v>
      </c>
      <c r="M76" s="2" t="n">
        <v>79.8635379974272</v>
      </c>
      <c r="N76" s="2" t="n">
        <v>77.0775332120569</v>
      </c>
      <c r="O76" s="2" t="n">
        <v>200</v>
      </c>
      <c r="Q76" s="1" t="n">
        <v>78.72971177482</v>
      </c>
    </row>
    <row r="77" customFormat="false" ht="15" hidden="false" customHeight="false" outlineLevel="0" collapsed="false">
      <c r="A77" s="2" t="n">
        <v>2008</v>
      </c>
      <c r="B77" s="2" t="n">
        <v>4</v>
      </c>
      <c r="C77" s="2" t="n">
        <v>79.7650398334914</v>
      </c>
      <c r="D77" s="2" t="n">
        <v>79.3252815138461</v>
      </c>
      <c r="E77" s="2" t="n">
        <v>80.2611631006618</v>
      </c>
      <c r="F77" s="2" t="n">
        <v>81.242767172475</v>
      </c>
      <c r="G77" s="2" t="n">
        <v>80.9156319129632</v>
      </c>
      <c r="H77" s="2" t="n">
        <v>77.7778669519641</v>
      </c>
      <c r="I77" s="2" t="n">
        <v>77.8044925655514</v>
      </c>
      <c r="K77" s="2" t="n">
        <v>79.6928190069052</v>
      </c>
      <c r="L77" s="2" t="n">
        <v>80.1796559872634</v>
      </c>
      <c r="M77" s="2" t="n">
        <v>80.4228513291546</v>
      </c>
      <c r="N77" s="2" t="n">
        <v>76.8181538666802</v>
      </c>
      <c r="O77" s="2" t="n">
        <v>200</v>
      </c>
      <c r="Q77" s="1" t="n">
        <v>80.4008617184761</v>
      </c>
    </row>
    <row r="78" customFormat="false" ht="15" hidden="false" customHeight="false" outlineLevel="0" collapsed="false">
      <c r="A78" s="2" t="n">
        <v>2009</v>
      </c>
      <c r="B78" s="2" t="n">
        <v>1</v>
      </c>
      <c r="C78" s="2" t="n">
        <v>80.9867523690246</v>
      </c>
      <c r="D78" s="2" t="n">
        <v>80.4898994135284</v>
      </c>
      <c r="E78" s="2" t="n">
        <v>81.5504860851277</v>
      </c>
      <c r="F78" s="2" t="n">
        <v>82.4023055890997</v>
      </c>
      <c r="G78" s="2" t="n">
        <v>82.039831386173</v>
      </c>
      <c r="H78" s="2" t="n">
        <v>79.1768121363173</v>
      </c>
      <c r="I78" s="2" t="n">
        <v>79.5535577652729</v>
      </c>
      <c r="K78" s="2" t="n">
        <v>80.8371250685799</v>
      </c>
      <c r="L78" s="2" t="n">
        <v>81.1854815339098</v>
      </c>
      <c r="M78" s="2" t="n">
        <v>81.6615714762735</v>
      </c>
      <c r="N78" s="2" t="n">
        <v>78.1609977655678</v>
      </c>
      <c r="O78" s="2" t="n">
        <v>218</v>
      </c>
      <c r="Q78" s="1" t="n">
        <v>77.6887164229579</v>
      </c>
    </row>
    <row r="79" customFormat="false" ht="15" hidden="false" customHeight="false" outlineLevel="0" collapsed="false">
      <c r="A79" s="2" t="n">
        <v>2009</v>
      </c>
      <c r="B79" s="2" t="n">
        <v>2</v>
      </c>
      <c r="C79" s="2" t="n">
        <v>82.2092686539893</v>
      </c>
      <c r="D79" s="2" t="n">
        <v>81.625912022047</v>
      </c>
      <c r="E79" s="2" t="n">
        <v>82.875658509449</v>
      </c>
      <c r="F79" s="2" t="n">
        <v>83.6093485059898</v>
      </c>
      <c r="G79" s="2" t="n">
        <v>83.4463287501815</v>
      </c>
      <c r="H79" s="2" t="n">
        <v>80.9874356391069</v>
      </c>
      <c r="I79" s="2" t="n">
        <v>80.9676837060651</v>
      </c>
      <c r="K79" s="2" t="n">
        <v>81.7843618188663</v>
      </c>
      <c r="L79" s="2" t="n">
        <v>82.7030077628564</v>
      </c>
      <c r="M79" s="2" t="n">
        <v>82.6219480284487</v>
      </c>
      <c r="N79" s="2" t="n">
        <v>79.5444573605579</v>
      </c>
      <c r="O79" s="2" t="n">
        <v>218</v>
      </c>
      <c r="Q79" s="1" t="n">
        <v>78.3304498781043</v>
      </c>
    </row>
    <row r="80" customFormat="false" ht="15" hidden="false" customHeight="false" outlineLevel="0" collapsed="false">
      <c r="A80" s="2" t="n">
        <v>2009</v>
      </c>
      <c r="B80" s="2" t="n">
        <v>3</v>
      </c>
      <c r="C80" s="2" t="n">
        <v>82.1127812983064</v>
      </c>
      <c r="D80" s="2" t="n">
        <v>81.7502463028016</v>
      </c>
      <c r="E80" s="2" t="n">
        <v>82.5160576597589</v>
      </c>
      <c r="F80" s="2" t="n">
        <v>83.0170633851431</v>
      </c>
      <c r="G80" s="2" t="n">
        <v>83.6017535176042</v>
      </c>
      <c r="H80" s="2" t="n">
        <v>81.273198291931</v>
      </c>
      <c r="I80" s="2" t="n">
        <v>80.5290092282136</v>
      </c>
      <c r="K80" s="2" t="n">
        <v>82.111951523522</v>
      </c>
      <c r="L80" s="2" t="n">
        <v>82.9307499022604</v>
      </c>
      <c r="M80" s="2" t="n">
        <v>82.6827990676955</v>
      </c>
      <c r="N80" s="2" t="n">
        <v>79.0139692631334</v>
      </c>
      <c r="O80" s="2" t="n">
        <v>218</v>
      </c>
      <c r="Q80" s="1" t="n">
        <v>80.2472054940993</v>
      </c>
    </row>
    <row r="81" customFormat="false" ht="15" hidden="false" customHeight="false" outlineLevel="0" collapsed="false">
      <c r="A81" s="2" t="n">
        <v>2009</v>
      </c>
      <c r="B81" s="2" t="n">
        <v>4</v>
      </c>
      <c r="C81" s="2" t="n">
        <v>82.9116216304853</v>
      </c>
      <c r="D81" s="2" t="n">
        <v>82.6548333287104</v>
      </c>
      <c r="E81" s="2" t="n">
        <v>83.1886028015081</v>
      </c>
      <c r="F81" s="2" t="n">
        <v>83.4752239832044</v>
      </c>
      <c r="G81" s="2" t="n">
        <v>84.1354934638751</v>
      </c>
      <c r="H81" s="2" t="n">
        <v>81.7376141632077</v>
      </c>
      <c r="I81" s="2" t="n">
        <v>81.9404437628986</v>
      </c>
      <c r="K81" s="2" t="n">
        <v>82.961691180654</v>
      </c>
      <c r="L81" s="2" t="n">
        <v>83.9576632709774</v>
      </c>
      <c r="M81" s="2" t="n">
        <v>83.2814694525205</v>
      </c>
      <c r="N81" s="2" t="n">
        <v>80.0992658024567</v>
      </c>
      <c r="O81" s="2" t="n">
        <v>218</v>
      </c>
      <c r="Q81" s="1" t="n">
        <v>80.0487440617832</v>
      </c>
    </row>
    <row r="82" customFormat="false" ht="15" hidden="false" customHeight="false" outlineLevel="0" collapsed="false">
      <c r="A82" s="2" t="n">
        <v>2010</v>
      </c>
      <c r="B82" s="2" t="n">
        <v>1</v>
      </c>
      <c r="C82" s="2" t="n">
        <v>84.2506558899935</v>
      </c>
      <c r="D82" s="2" t="n">
        <v>83.8399705486215</v>
      </c>
      <c r="E82" s="2" t="n">
        <v>84.7105632876148</v>
      </c>
      <c r="F82" s="2" t="n">
        <v>84.8037719459405</v>
      </c>
      <c r="G82" s="2" t="n">
        <v>86.0970177559748</v>
      </c>
      <c r="H82" s="2" t="n">
        <v>83.0332177998918</v>
      </c>
      <c r="I82" s="2" t="n">
        <v>83.5971082717152</v>
      </c>
      <c r="K82" s="2" t="n">
        <v>84.2736937521822</v>
      </c>
      <c r="L82" s="2" t="n">
        <v>84.9085974048884</v>
      </c>
      <c r="M82" s="2" t="n">
        <v>83.6151531674747</v>
      </c>
      <c r="N82" s="2" t="n">
        <v>81.5534301329977</v>
      </c>
      <c r="O82" s="2" t="n">
        <v>240</v>
      </c>
      <c r="Q82" s="1" t="n">
        <v>77.6249730304874</v>
      </c>
    </row>
    <row r="83" customFormat="false" ht="15" hidden="false" customHeight="false" outlineLevel="0" collapsed="false">
      <c r="A83" s="2" t="n">
        <v>2010</v>
      </c>
      <c r="B83" s="2" t="n">
        <v>2</v>
      </c>
      <c r="C83" s="2" t="n">
        <v>84.8813514323926</v>
      </c>
      <c r="D83" s="2" t="n">
        <v>84.3507745248861</v>
      </c>
      <c r="E83" s="2" t="n">
        <v>85.4839096210326</v>
      </c>
      <c r="F83" s="2" t="n">
        <v>85.6246897371485</v>
      </c>
      <c r="G83" s="2" t="n">
        <v>86.6254569899632</v>
      </c>
      <c r="H83" s="2" t="n">
        <v>84.333137938055</v>
      </c>
      <c r="I83" s="2" t="n">
        <v>84.3379529987222</v>
      </c>
      <c r="K83" s="2" t="n">
        <v>84.7975731491248</v>
      </c>
      <c r="L83" s="2" t="n">
        <v>85.2324845869545</v>
      </c>
      <c r="M83" s="2" t="n">
        <v>84.4721049107221</v>
      </c>
      <c r="N83" s="2" t="n">
        <v>82.0462537831374</v>
      </c>
      <c r="O83" s="2" t="n">
        <v>240</v>
      </c>
      <c r="Q83" s="1" t="n">
        <v>78.922062578991</v>
      </c>
    </row>
    <row r="84" customFormat="false" ht="15" hidden="false" customHeight="false" outlineLevel="0" collapsed="false">
      <c r="A84" s="2" t="n">
        <v>2010</v>
      </c>
      <c r="B84" s="2" t="n">
        <v>3</v>
      </c>
      <c r="C84" s="2" t="n">
        <v>85.0305748011699</v>
      </c>
      <c r="D84" s="2" t="n">
        <v>84.653079621616</v>
      </c>
      <c r="E84" s="2" t="n">
        <v>85.4506573226758</v>
      </c>
      <c r="F84" s="2" t="n">
        <v>85.7094612319547</v>
      </c>
      <c r="G84" s="2" t="n">
        <v>86.62887574463</v>
      </c>
      <c r="H84" s="2" t="n">
        <v>84.3010313537168</v>
      </c>
      <c r="I84" s="2" t="n">
        <v>83.967537767525</v>
      </c>
      <c r="K84" s="2" t="n">
        <v>84.9228010466166</v>
      </c>
      <c r="L84" s="2" t="n">
        <v>85.7706397729751</v>
      </c>
      <c r="M84" s="2" t="n">
        <v>85.1682539149096</v>
      </c>
      <c r="N84" s="2" t="n">
        <v>82.4370476056602</v>
      </c>
      <c r="O84" s="2" t="n">
        <v>240</v>
      </c>
      <c r="Q84" s="1" t="n">
        <v>80.012357407004</v>
      </c>
    </row>
    <row r="85" customFormat="false" ht="15" hidden="false" customHeight="false" outlineLevel="0" collapsed="false">
      <c r="A85" s="2" t="n">
        <v>2010</v>
      </c>
      <c r="B85" s="2" t="n">
        <v>4</v>
      </c>
      <c r="C85" s="2" t="n">
        <v>85.7240342210823</v>
      </c>
      <c r="D85" s="2" t="n">
        <v>85.3247860979397</v>
      </c>
      <c r="E85" s="2" t="n">
        <v>86.169796373161</v>
      </c>
      <c r="F85" s="2" t="n">
        <v>86.6365061403833</v>
      </c>
      <c r="G85" s="2" t="n">
        <v>86.9876943562635</v>
      </c>
      <c r="H85" s="2" t="n">
        <v>85.0226011657771</v>
      </c>
      <c r="I85" s="2" t="n">
        <v>84.5007080568866</v>
      </c>
      <c r="K85" s="2" t="n">
        <v>85.3488126878636</v>
      </c>
      <c r="L85" s="2" t="n">
        <v>86.2134166500875</v>
      </c>
      <c r="M85" s="2" t="n">
        <v>86.2851903138934</v>
      </c>
      <c r="N85" s="2" t="n">
        <v>83.82711965161</v>
      </c>
      <c r="O85" s="2" t="n">
        <v>240</v>
      </c>
      <c r="Q85" s="1" t="n">
        <v>80.1736550181988</v>
      </c>
    </row>
    <row r="86" customFormat="false" ht="15" hidden="false" customHeight="false" outlineLevel="0" collapsed="false">
      <c r="A86" s="2" t="n">
        <v>2011</v>
      </c>
      <c r="B86" s="2" t="n">
        <v>1</v>
      </c>
      <c r="C86" s="2" t="n">
        <v>87.0981353694548</v>
      </c>
      <c r="D86" s="2" t="n">
        <v>86.6516530880995</v>
      </c>
      <c r="E86" s="2" t="n">
        <v>87.5997041515173</v>
      </c>
      <c r="F86" s="2" t="n">
        <v>88.1128917381755</v>
      </c>
      <c r="G86" s="2" t="n">
        <v>88.0743565024416</v>
      </c>
      <c r="H86" s="2" t="n">
        <v>86.5490603074737</v>
      </c>
      <c r="I86" s="2" t="n">
        <v>86.1146070051783</v>
      </c>
      <c r="K86" s="2" t="n">
        <v>86.3760124729987</v>
      </c>
      <c r="L86" s="2" t="n">
        <v>87.6070951553971</v>
      </c>
      <c r="M86" s="2" t="n">
        <v>87.4437554396448</v>
      </c>
      <c r="N86" s="2" t="n">
        <v>86.0257758138935</v>
      </c>
      <c r="O86" s="2" t="n">
        <v>264</v>
      </c>
      <c r="Q86" s="1" t="n">
        <v>77.6342008561023</v>
      </c>
    </row>
    <row r="87" customFormat="false" ht="15" hidden="false" customHeight="false" outlineLevel="0" collapsed="false">
      <c r="A87" s="2" t="n">
        <v>2011</v>
      </c>
      <c r="B87" s="2" t="n">
        <v>2</v>
      </c>
      <c r="C87" s="2" t="n">
        <v>88.3864196428003</v>
      </c>
      <c r="D87" s="2" t="n">
        <v>87.6465963879466</v>
      </c>
      <c r="E87" s="2" t="n">
        <v>89.2371040473322</v>
      </c>
      <c r="F87" s="2" t="n">
        <v>89.7752602020154</v>
      </c>
      <c r="G87" s="2" t="n">
        <v>89.8118823133683</v>
      </c>
      <c r="H87" s="2" t="n">
        <v>87.9897285041125</v>
      </c>
      <c r="I87" s="2" t="n">
        <v>87.646430706755</v>
      </c>
      <c r="K87" s="2" t="n">
        <v>87.3401254786323</v>
      </c>
      <c r="L87" s="2" t="n">
        <v>88.6769741954051</v>
      </c>
      <c r="M87" s="2" t="n">
        <v>88.2418800241087</v>
      </c>
      <c r="N87" s="2" t="n">
        <v>87.1274354851269</v>
      </c>
      <c r="O87" s="2" t="n">
        <v>264</v>
      </c>
      <c r="Q87" s="1" t="n">
        <v>78.3539215544479</v>
      </c>
    </row>
    <row r="88" customFormat="false" ht="15" hidden="false" customHeight="false" outlineLevel="0" collapsed="false">
      <c r="A88" s="2" t="n">
        <v>2011</v>
      </c>
      <c r="B88" s="2" t="n">
        <v>3</v>
      </c>
      <c r="C88" s="2" t="n">
        <v>89.1892962435327</v>
      </c>
      <c r="D88" s="2" t="n">
        <v>88.7293410604048</v>
      </c>
      <c r="E88" s="2" t="n">
        <v>89.7061882276286</v>
      </c>
      <c r="F88" s="2" t="n">
        <v>90.2586500965158</v>
      </c>
      <c r="G88" s="2" t="n">
        <v>90.4622717991612</v>
      </c>
      <c r="H88" s="2" t="n">
        <v>88.277678042122</v>
      </c>
      <c r="I88" s="2" t="n">
        <v>87.955006035276</v>
      </c>
      <c r="K88" s="2" t="n">
        <v>88.4754642918335</v>
      </c>
      <c r="L88" s="2" t="n">
        <v>89.8526394571785</v>
      </c>
      <c r="M88" s="2" t="n">
        <v>88.7951170789748</v>
      </c>
      <c r="N88" s="2" t="n">
        <v>88.2174910380392</v>
      </c>
      <c r="O88" s="2" t="n">
        <v>264</v>
      </c>
      <c r="Q88" s="1" t="n">
        <v>79.4314883699501</v>
      </c>
    </row>
    <row r="89" customFormat="false" ht="15" hidden="false" customHeight="false" outlineLevel="0" collapsed="false">
      <c r="A89" s="2" t="n">
        <v>2011</v>
      </c>
      <c r="B89" s="2" t="n">
        <v>4</v>
      </c>
      <c r="C89" s="2" t="n">
        <v>90.421102737221</v>
      </c>
      <c r="D89" s="2" t="n">
        <v>90.0853845370692</v>
      </c>
      <c r="E89" s="2" t="n">
        <v>90.7895135671715</v>
      </c>
      <c r="F89" s="2" t="n">
        <v>90.9143811173107</v>
      </c>
      <c r="G89" s="2" t="n">
        <v>91.6166961164155</v>
      </c>
      <c r="H89" s="2" t="n">
        <v>89.2303385550725</v>
      </c>
      <c r="I89" s="2" t="n">
        <v>90.0989436401393</v>
      </c>
      <c r="K89" s="2" t="n">
        <v>89.8730083527263</v>
      </c>
      <c r="L89" s="2" t="n">
        <v>91.408366480111</v>
      </c>
      <c r="M89" s="2" t="n">
        <v>90.0746868970111</v>
      </c>
      <c r="N89" s="2" t="n">
        <v>89.2924825535022</v>
      </c>
      <c r="O89" s="2" t="n">
        <v>264</v>
      </c>
      <c r="Q89" s="1" t="n">
        <v>79.7263913317997</v>
      </c>
    </row>
    <row r="90" customFormat="false" ht="15" hidden="false" customHeight="false" outlineLevel="0" collapsed="false">
      <c r="A90" s="2" t="n">
        <v>2012</v>
      </c>
      <c r="B90" s="2" t="n">
        <v>1</v>
      </c>
      <c r="C90" s="2" t="n">
        <v>92.0160074979537</v>
      </c>
      <c r="D90" s="2" t="n">
        <v>91.7819452398934</v>
      </c>
      <c r="E90" s="2" t="n">
        <v>92.2627192823732</v>
      </c>
      <c r="F90" s="2" t="n">
        <v>92.0019491134529</v>
      </c>
      <c r="G90" s="2" t="n">
        <v>93.4971578431193</v>
      </c>
      <c r="H90" s="2" t="n">
        <v>91.5043404153241</v>
      </c>
      <c r="I90" s="2" t="n">
        <v>91.9441704741033</v>
      </c>
      <c r="K90" s="2" t="n">
        <v>91.5857703048388</v>
      </c>
      <c r="L90" s="2" t="n">
        <v>92.5312496240665</v>
      </c>
      <c r="M90" s="2" t="n">
        <v>91.7068686606331</v>
      </c>
      <c r="N90" s="2" t="n">
        <v>91.5362893052331</v>
      </c>
      <c r="O90" s="2" t="n">
        <v>292</v>
      </c>
      <c r="Q90" s="1" t="n">
        <v>77.5114313879994</v>
      </c>
    </row>
    <row r="91" customFormat="false" ht="15" hidden="false" customHeight="false" outlineLevel="0" collapsed="false">
      <c r="A91" s="2" t="n">
        <v>2012</v>
      </c>
      <c r="B91" s="2" t="n">
        <v>2</v>
      </c>
      <c r="C91" s="2" t="n">
        <v>92.8854790448768</v>
      </c>
      <c r="D91" s="2" t="n">
        <v>92.1889984656798</v>
      </c>
      <c r="E91" s="2" t="n">
        <v>93.6829380544714</v>
      </c>
      <c r="F91" s="2" t="n">
        <v>93.5580619928461</v>
      </c>
      <c r="G91" s="2" t="n">
        <v>94.7852084888318</v>
      </c>
      <c r="H91" s="2" t="n">
        <v>92.4253821425492</v>
      </c>
      <c r="I91" s="2" t="n">
        <v>93.2823955339004</v>
      </c>
      <c r="K91" s="2" t="n">
        <v>92.0910398362148</v>
      </c>
      <c r="L91" s="2" t="n">
        <v>92.7481590594607</v>
      </c>
      <c r="M91" s="2" t="n">
        <v>91.7472344836135</v>
      </c>
      <c r="N91" s="2" t="n">
        <v>92.022296817276</v>
      </c>
      <c r="O91" s="2" t="n">
        <v>292</v>
      </c>
      <c r="Q91" s="1" t="n">
        <v>78.7685738034556</v>
      </c>
    </row>
    <row r="92" customFormat="false" ht="15" hidden="false" customHeight="false" outlineLevel="0" collapsed="false">
      <c r="A92" s="2" t="n">
        <v>2012</v>
      </c>
      <c r="B92" s="2" t="n">
        <v>3</v>
      </c>
      <c r="C92" s="2" t="n">
        <v>93.7051846964094</v>
      </c>
      <c r="D92" s="2" t="n">
        <v>93.2366315891657</v>
      </c>
      <c r="E92" s="2" t="n">
        <v>94.2307416257129</v>
      </c>
      <c r="F92" s="2" t="n">
        <v>94.2951291899154</v>
      </c>
      <c r="G92" s="2" t="n">
        <v>94.7965652284776</v>
      </c>
      <c r="H92" s="2" t="n">
        <v>93.0648410087509</v>
      </c>
      <c r="I92" s="2" t="n">
        <v>93.8363157121807</v>
      </c>
      <c r="K92" s="2" t="n">
        <v>93.4928826310975</v>
      </c>
      <c r="L92" s="2" t="n">
        <v>93.3566694983907</v>
      </c>
      <c r="M92" s="2" t="n">
        <v>92.5445400957298</v>
      </c>
      <c r="N92" s="2" t="n">
        <v>92.604152038119</v>
      </c>
      <c r="O92" s="2" t="n">
        <v>292</v>
      </c>
      <c r="Q92" s="1" t="n">
        <v>79.4518657001009</v>
      </c>
    </row>
    <row r="93" customFormat="false" ht="15" hidden="false" customHeight="false" outlineLevel="0" collapsed="false">
      <c r="A93" s="2" t="n">
        <v>2012</v>
      </c>
      <c r="B93" s="2" t="n">
        <v>4</v>
      </c>
      <c r="C93" s="2" t="n">
        <v>94.604239466372</v>
      </c>
      <c r="D93" s="2" t="n">
        <v>94.2363941925188</v>
      </c>
      <c r="E93" s="2" t="n">
        <v>95.0094707969628</v>
      </c>
      <c r="F93" s="2" t="n">
        <v>94.6187219891886</v>
      </c>
      <c r="G93" s="2" t="n">
        <v>95.7712266222501</v>
      </c>
      <c r="H93" s="2" t="n">
        <v>93.8562809198216</v>
      </c>
      <c r="I93" s="2" t="n">
        <v>95.5863878344978</v>
      </c>
      <c r="K93" s="2" t="n">
        <v>94.288101725098</v>
      </c>
      <c r="L93" s="2" t="n">
        <v>94.1374876912062</v>
      </c>
      <c r="M93" s="2" t="n">
        <v>93.6668528928292</v>
      </c>
      <c r="N93" s="2" t="n">
        <v>94.3469657227648</v>
      </c>
      <c r="O93" s="2" t="n">
        <v>292</v>
      </c>
      <c r="Q93" s="1" t="n">
        <v>80.059374266261</v>
      </c>
    </row>
    <row r="94" customFormat="false" ht="15" hidden="false" customHeight="false" outlineLevel="0" collapsed="false">
      <c r="A94" s="2" t="n">
        <v>2013</v>
      </c>
      <c r="B94" s="2" t="n">
        <v>1</v>
      </c>
      <c r="C94" s="2" t="n">
        <v>95.2622604561851</v>
      </c>
      <c r="D94" s="2" t="n">
        <v>94.7283670596647</v>
      </c>
      <c r="E94" s="2" t="n">
        <v>95.8651365527003</v>
      </c>
      <c r="F94" s="2" t="n">
        <v>95.4061766118437</v>
      </c>
      <c r="G94" s="2" t="n">
        <v>97.0926133053471</v>
      </c>
      <c r="H94" s="2" t="n">
        <v>94.7375351721648</v>
      </c>
      <c r="I94" s="2" t="n">
        <v>96.1618343534655</v>
      </c>
      <c r="K94" s="2" t="n">
        <v>94.8144504707278</v>
      </c>
      <c r="L94" s="2" t="n">
        <v>94.6547983432646</v>
      </c>
      <c r="M94" s="2" t="n">
        <v>94.1999191228166</v>
      </c>
      <c r="N94" s="2" t="n">
        <v>94.6953550700729</v>
      </c>
      <c r="O94" s="2" t="n">
        <v>318</v>
      </c>
      <c r="Q94" s="1" t="n">
        <v>78.3337756056933</v>
      </c>
    </row>
    <row r="95" customFormat="false" ht="15" hidden="false" customHeight="false" outlineLevel="0" collapsed="false">
      <c r="A95" s="2" t="n">
        <v>2013</v>
      </c>
      <c r="B95" s="2" t="n">
        <v>2</v>
      </c>
      <c r="C95" s="2" t="n">
        <v>95.5848114857496</v>
      </c>
      <c r="D95" s="2" t="n">
        <v>94.9986582391746</v>
      </c>
      <c r="E95" s="2" t="n">
        <v>96.2498513339451</v>
      </c>
      <c r="F95" s="2" t="n">
        <v>95.9307047446168</v>
      </c>
      <c r="G95" s="2" t="n">
        <v>97.5969641903617</v>
      </c>
      <c r="H95" s="2" t="n">
        <v>95.7154937630499</v>
      </c>
      <c r="I95" s="2" t="n">
        <v>95.9096907967886</v>
      </c>
      <c r="K95" s="2" t="n">
        <v>95.0030045107943</v>
      </c>
      <c r="L95" s="2" t="n">
        <v>95.1945781111312</v>
      </c>
      <c r="M95" s="2" t="n">
        <v>94.9167364886256</v>
      </c>
      <c r="N95" s="2" t="n">
        <v>94.7226536015326</v>
      </c>
      <c r="O95" s="2" t="n">
        <v>318</v>
      </c>
      <c r="Q95" s="1" t="n">
        <v>79.2445523354866</v>
      </c>
    </row>
    <row r="96" customFormat="false" ht="15" hidden="false" customHeight="false" outlineLevel="0" collapsed="false">
      <c r="A96" s="2" t="n">
        <v>2013</v>
      </c>
      <c r="B96" s="2" t="n">
        <v>3</v>
      </c>
      <c r="C96" s="2" t="n">
        <v>95.696521940927</v>
      </c>
      <c r="D96" s="2" t="n">
        <v>95.4408346488461</v>
      </c>
      <c r="E96" s="2" t="n">
        <v>95.9677151880968</v>
      </c>
      <c r="F96" s="2" t="n">
        <v>95.6690209119371</v>
      </c>
      <c r="G96" s="2" t="n">
        <v>96.6379030340885</v>
      </c>
      <c r="H96" s="2" t="n">
        <v>96.0897667995302</v>
      </c>
      <c r="I96" s="2" t="n">
        <v>96.0434261041951</v>
      </c>
      <c r="K96" s="2" t="n">
        <v>95.5462178989977</v>
      </c>
      <c r="L96" s="2" t="n">
        <v>95.42333484977</v>
      </c>
      <c r="M96" s="2" t="n">
        <v>95.6211476948937</v>
      </c>
      <c r="N96" s="2" t="n">
        <v>94.9605483763119</v>
      </c>
      <c r="O96" s="2" t="n">
        <v>318</v>
      </c>
      <c r="Q96" s="1" t="n">
        <v>80.0594550800498</v>
      </c>
    </row>
    <row r="97" customFormat="false" ht="15" hidden="false" customHeight="false" outlineLevel="0" collapsed="false">
      <c r="A97" s="2" t="n">
        <v>2013</v>
      </c>
      <c r="B97" s="2" t="n">
        <v>4</v>
      </c>
      <c r="C97" s="2" t="n">
        <v>96.8252809878436</v>
      </c>
      <c r="D97" s="2" t="n">
        <v>96.6525124295242</v>
      </c>
      <c r="E97" s="2" t="n">
        <v>96.997267015974</v>
      </c>
      <c r="F97" s="2" t="n">
        <v>96.9002774071916</v>
      </c>
      <c r="G97" s="2" t="n">
        <v>96.8002295312851</v>
      </c>
      <c r="H97" s="2" t="n">
        <v>96.9213213341273</v>
      </c>
      <c r="I97" s="2" t="n">
        <v>97.4453437207283</v>
      </c>
      <c r="K97" s="2" t="n">
        <v>96.6955496185588</v>
      </c>
      <c r="L97" s="2" t="n">
        <v>96.6975565508801</v>
      </c>
      <c r="M97" s="2" t="n">
        <v>97.2052510675376</v>
      </c>
      <c r="N97" s="2" t="n">
        <v>96.1115250067965</v>
      </c>
      <c r="O97" s="2" t="n">
        <v>318</v>
      </c>
      <c r="Q97" s="1" t="n">
        <v>79.8852423179184</v>
      </c>
    </row>
    <row r="98" customFormat="false" ht="15" hidden="false" customHeight="false" outlineLevel="0" collapsed="false">
      <c r="A98" s="2" t="n">
        <v>2014</v>
      </c>
      <c r="B98" s="2" t="n">
        <v>1</v>
      </c>
      <c r="C98" s="2" t="n">
        <v>98.0830338739655</v>
      </c>
      <c r="D98" s="2" t="n">
        <v>97.6523220293249</v>
      </c>
      <c r="E98" s="2" t="n">
        <v>98.5619637306158</v>
      </c>
      <c r="F98" s="2" t="n">
        <v>98.1564632091738</v>
      </c>
      <c r="G98" s="2" t="n">
        <v>98.2512692514137</v>
      </c>
      <c r="H98" s="2" t="n">
        <v>98.3899198840222</v>
      </c>
      <c r="I98" s="2" t="n">
        <v>99.9341492951613</v>
      </c>
      <c r="K98" s="2" t="n">
        <v>97.8854386246834</v>
      </c>
      <c r="L98" s="2" t="n">
        <v>97.5615261209545</v>
      </c>
      <c r="M98" s="2" t="n">
        <v>97.8620864214017</v>
      </c>
      <c r="N98" s="2" t="n">
        <v>96.8614293448371</v>
      </c>
      <c r="O98" s="2" t="n">
        <v>340</v>
      </c>
      <c r="Q98" s="1" t="n">
        <v>77.8671390833756</v>
      </c>
    </row>
    <row r="99" customFormat="false" ht="15" hidden="false" customHeight="false" outlineLevel="0" collapsed="false">
      <c r="A99" s="2" t="n">
        <v>2014</v>
      </c>
      <c r="B99" s="2" t="n">
        <v>2</v>
      </c>
      <c r="C99" s="2" t="n">
        <v>98.8716926422298</v>
      </c>
      <c r="D99" s="2" t="n">
        <v>98.3617183215152</v>
      </c>
      <c r="E99" s="2" t="n">
        <v>99.4448013819233</v>
      </c>
      <c r="F99" s="2" t="n">
        <v>99.1715283859644</v>
      </c>
      <c r="G99" s="2" t="n">
        <v>99.3681845343932</v>
      </c>
      <c r="H99" s="2" t="n">
        <v>98.7644381598487</v>
      </c>
      <c r="I99" s="2" t="n">
        <v>100.395155711016</v>
      </c>
      <c r="K99" s="2" t="n">
        <v>98.5213081168195</v>
      </c>
      <c r="L99" s="2" t="n">
        <v>98.2143432284696</v>
      </c>
      <c r="M99" s="2" t="n">
        <v>98.6441250354991</v>
      </c>
      <c r="N99" s="2" t="n">
        <v>97.8021820487695</v>
      </c>
      <c r="O99" s="2" t="n">
        <v>340</v>
      </c>
      <c r="Q99" s="1" t="n">
        <v>78.8786271773628</v>
      </c>
    </row>
    <row r="100" customFormat="false" ht="15" hidden="false" customHeight="false" outlineLevel="0" collapsed="false">
      <c r="A100" s="2" t="n">
        <v>2014</v>
      </c>
      <c r="B100" s="2" t="n">
        <v>3</v>
      </c>
      <c r="C100" s="2" t="n">
        <v>99.6677015365054</v>
      </c>
      <c r="D100" s="2" t="n">
        <v>99.3622954728318</v>
      </c>
      <c r="E100" s="2" t="n">
        <v>99.9967530473057</v>
      </c>
      <c r="F100" s="2" t="n">
        <v>100.172597125045</v>
      </c>
      <c r="G100" s="2" t="n">
        <v>99.1791496803382</v>
      </c>
      <c r="H100" s="2" t="n">
        <v>99.0924406554246</v>
      </c>
      <c r="I100" s="2" t="n">
        <v>100.573171586565</v>
      </c>
      <c r="K100" s="2" t="n">
        <v>99.7166913492557</v>
      </c>
      <c r="L100" s="2" t="n">
        <v>98.607762316092</v>
      </c>
      <c r="M100" s="2" t="n">
        <v>99.4057692585417</v>
      </c>
      <c r="N100" s="2" t="n">
        <v>98.9543084391562</v>
      </c>
      <c r="O100" s="2" t="n">
        <v>340</v>
      </c>
      <c r="Q100" s="1" t="n">
        <v>79.5128685797242</v>
      </c>
    </row>
    <row r="101" customFormat="false" ht="15" hidden="false" customHeight="false" outlineLevel="0" collapsed="false">
      <c r="A101" s="2" t="n">
        <v>2014</v>
      </c>
      <c r="B101" s="2" t="n">
        <v>4</v>
      </c>
      <c r="C101" s="2" t="n">
        <v>100.50639978567</v>
      </c>
      <c r="D101" s="2" t="n">
        <v>100.424892850088</v>
      </c>
      <c r="E101" s="2" t="n">
        <v>100.568343037328</v>
      </c>
      <c r="F101" s="2" t="n">
        <v>100.653894938944</v>
      </c>
      <c r="G101" s="2" t="n">
        <v>100.207916015305</v>
      </c>
      <c r="H101" s="2" t="n">
        <v>100.169121667912</v>
      </c>
      <c r="I101" s="2" t="n">
        <v>100.796175936022</v>
      </c>
      <c r="K101" s="2" t="n">
        <v>100.539782511322</v>
      </c>
      <c r="L101" s="2" t="n">
        <v>99.8956695788294</v>
      </c>
      <c r="M101" s="2" t="n">
        <v>100.232265443248</v>
      </c>
      <c r="N101" s="2" t="n">
        <v>100.5924567573</v>
      </c>
      <c r="O101" s="2" t="n">
        <v>340</v>
      </c>
      <c r="Q101" s="1" t="n">
        <v>80.1530209722584</v>
      </c>
    </row>
    <row r="102" customFormat="false" ht="15" hidden="false" customHeight="false" outlineLevel="0" collapsed="false">
      <c r="A102" s="2" t="n">
        <v>2015</v>
      </c>
      <c r="B102" s="2" t="n">
        <v>1</v>
      </c>
      <c r="C102" s="2" t="n">
        <v>101.792035498233</v>
      </c>
      <c r="D102" s="2" t="n">
        <v>101.540770654939</v>
      </c>
      <c r="E102" s="2" t="n">
        <v>102.01926782144</v>
      </c>
      <c r="F102" s="2" t="n">
        <v>101.767131234426</v>
      </c>
      <c r="G102" s="2" t="n">
        <v>102.14413675633</v>
      </c>
      <c r="H102" s="2" t="n">
        <v>101.757866741199</v>
      </c>
      <c r="I102" s="2" t="n">
        <v>102.613801476497</v>
      </c>
      <c r="J102" s="2" t="n">
        <v>102.69135554711</v>
      </c>
      <c r="K102" s="2" t="n">
        <v>101.482370361662</v>
      </c>
      <c r="L102" s="2" t="n">
        <v>101.639850636168</v>
      </c>
      <c r="M102" s="2" t="n">
        <v>101.911656172299</v>
      </c>
      <c r="N102" s="2" t="n">
        <v>101.425643377739</v>
      </c>
      <c r="O102" s="2" t="n">
        <v>354</v>
      </c>
      <c r="Q102" s="1" t="n">
        <v>77.8823883305729</v>
      </c>
    </row>
    <row r="103" customFormat="false" ht="15" hidden="false" customHeight="false" outlineLevel="0" collapsed="false">
      <c r="A103" s="2" t="n">
        <v>2015</v>
      </c>
      <c r="B103" s="2" t="n">
        <v>2</v>
      </c>
      <c r="C103" s="2" t="n">
        <v>103.398353744992</v>
      </c>
      <c r="D103" s="2" t="n">
        <v>102.955082761167</v>
      </c>
      <c r="E103" s="2" t="n">
        <v>103.799227556644</v>
      </c>
      <c r="F103" s="2" t="n">
        <v>103.719040742829</v>
      </c>
      <c r="G103" s="2" t="n">
        <v>103.866924438439</v>
      </c>
      <c r="H103" s="2" t="n">
        <v>103.355836629579</v>
      </c>
      <c r="I103" s="2" t="n">
        <v>103.894555873498</v>
      </c>
      <c r="J103" s="2" t="n">
        <v>104.644657188398</v>
      </c>
      <c r="K103" s="2" t="n">
        <v>102.933797478831</v>
      </c>
      <c r="L103" s="2" t="n">
        <v>102.945298425625</v>
      </c>
      <c r="M103" s="2" t="n">
        <v>103.074033940158</v>
      </c>
      <c r="N103" s="2" t="n">
        <v>102.968873388129</v>
      </c>
      <c r="O103" s="2" t="n">
        <v>354</v>
      </c>
      <c r="Q103" s="1" t="n">
        <v>78.2776170788467</v>
      </c>
    </row>
    <row r="104" customFormat="false" ht="15" hidden="false" customHeight="false" outlineLevel="0" collapsed="false">
      <c r="A104" s="2" t="n">
        <v>2015</v>
      </c>
      <c r="B104" s="2" t="n">
        <v>3</v>
      </c>
      <c r="C104" s="2" t="n">
        <v>103.747915389501</v>
      </c>
      <c r="D104" s="2" t="n">
        <v>103.343437052828</v>
      </c>
      <c r="E104" s="2" t="n">
        <v>104.113706922152</v>
      </c>
      <c r="F104" s="2" t="n">
        <v>104.046135958879</v>
      </c>
      <c r="G104" s="2" t="n">
        <v>104.560982431873</v>
      </c>
      <c r="H104" s="2" t="n">
        <v>103.874329465249</v>
      </c>
      <c r="I104" s="2" t="n">
        <v>103.984269466121</v>
      </c>
      <c r="J104" s="2" t="n">
        <v>104.865251040215</v>
      </c>
      <c r="K104" s="2" t="n">
        <v>103.25069697295</v>
      </c>
      <c r="L104" s="2" t="n">
        <v>103.221668973478</v>
      </c>
      <c r="M104" s="2" t="n">
        <v>103.684143358424</v>
      </c>
      <c r="N104" s="2" t="n">
        <v>103.611679004239</v>
      </c>
      <c r="O104" s="2" t="n">
        <v>354</v>
      </c>
      <c r="Q104" s="1" t="n">
        <v>79.8829584681759</v>
      </c>
    </row>
    <row r="105" customFormat="false" ht="15" hidden="false" customHeight="false" outlineLevel="0" collapsed="false">
      <c r="A105" s="2" t="n">
        <v>2015</v>
      </c>
      <c r="B105" s="2" t="n">
        <v>4</v>
      </c>
      <c r="C105" s="2" t="n">
        <v>103.943218893479</v>
      </c>
      <c r="D105" s="2" t="n">
        <v>103.794662083719</v>
      </c>
      <c r="E105" s="2" t="n">
        <v>104.077566813257</v>
      </c>
      <c r="F105" s="2" t="n">
        <v>104.009416054754</v>
      </c>
      <c r="G105" s="2" t="n">
        <v>104.783348322199</v>
      </c>
      <c r="H105" s="2" t="n">
        <v>103.835757366516</v>
      </c>
      <c r="I105" s="2" t="n">
        <v>103.865954577493</v>
      </c>
      <c r="J105" s="2" t="n">
        <v>104.81242522917</v>
      </c>
      <c r="K105" s="2" t="n">
        <v>103.685314720763</v>
      </c>
      <c r="L105" s="2" t="n">
        <v>103.654019607631</v>
      </c>
      <c r="M105" s="2" t="n">
        <v>104.271122134509</v>
      </c>
      <c r="N105" s="2" t="n">
        <v>104.05217987824</v>
      </c>
      <c r="O105" s="2" t="n">
        <v>354</v>
      </c>
      <c r="Q105" s="1" t="n">
        <v>80.6756338864045</v>
      </c>
    </row>
    <row r="106" customFormat="false" ht="15" hidden="false" customHeight="false" outlineLevel="0" collapsed="false">
      <c r="A106" s="2" t="n">
        <v>2016</v>
      </c>
      <c r="B106" s="2" t="n">
        <v>1</v>
      </c>
      <c r="C106" s="2" t="n">
        <v>104.510220432656</v>
      </c>
      <c r="D106" s="2" t="n">
        <v>104.36674140474</v>
      </c>
      <c r="E106" s="2" t="n">
        <v>104.639976240979</v>
      </c>
      <c r="F106" s="2" t="n">
        <v>104.424853060732</v>
      </c>
      <c r="G106" s="2" t="n">
        <v>106.227407844983</v>
      </c>
      <c r="H106" s="2" t="n">
        <v>104.618864108863</v>
      </c>
      <c r="I106" s="2" t="n">
        <v>104.424499693909</v>
      </c>
      <c r="J106" s="2" t="n">
        <v>105.5157770341</v>
      </c>
      <c r="K106" s="2" t="n">
        <v>104.125644556216</v>
      </c>
      <c r="L106" s="2" t="n">
        <v>104.343505028453</v>
      </c>
      <c r="M106" s="2" t="n">
        <v>104.969441548714</v>
      </c>
      <c r="N106" s="2" t="n">
        <v>104.997412429722</v>
      </c>
      <c r="O106" s="2" t="n">
        <v>366</v>
      </c>
      <c r="Q106" s="1" t="n">
        <v>78.4506852705083</v>
      </c>
    </row>
    <row r="107" customFormat="false" ht="15" hidden="false" customHeight="false" outlineLevel="0" collapsed="false">
      <c r="A107" s="2" t="n">
        <v>2016</v>
      </c>
      <c r="B107" s="2" t="n">
        <v>2</v>
      </c>
      <c r="C107" s="2" t="n">
        <v>105.122414972079</v>
      </c>
      <c r="D107" s="2" t="n">
        <v>104.719758473382</v>
      </c>
      <c r="E107" s="2" t="n">
        <v>105.486558918579</v>
      </c>
      <c r="F107" s="2" t="n">
        <v>105.359929670226</v>
      </c>
      <c r="G107" s="2" t="n">
        <v>107.058924766787</v>
      </c>
      <c r="H107" s="2" t="n">
        <v>106.231657568107</v>
      </c>
      <c r="I107" s="2" t="n">
        <v>105.011212028229</v>
      </c>
      <c r="J107" s="2" t="n">
        <v>105.470582182985</v>
      </c>
      <c r="K107" s="2" t="n">
        <v>104.670014593359</v>
      </c>
      <c r="L107" s="2" t="n">
        <v>104.164991867574</v>
      </c>
      <c r="M107" s="2" t="n">
        <v>105.336194901051</v>
      </c>
      <c r="N107" s="2" t="n">
        <v>105.003805322553</v>
      </c>
      <c r="O107" s="2" t="n">
        <v>366</v>
      </c>
      <c r="Q107" s="1" t="n">
        <v>79.0498146823104</v>
      </c>
    </row>
    <row r="108" customFormat="false" ht="15" hidden="false" customHeight="false" outlineLevel="0" collapsed="false">
      <c r="A108" s="2" t="n">
        <v>2016</v>
      </c>
      <c r="B108" s="2" t="n">
        <v>3</v>
      </c>
      <c r="C108" s="2" t="n">
        <v>105.233930063504</v>
      </c>
      <c r="D108" s="2" t="n">
        <v>104.874006795547</v>
      </c>
      <c r="E108" s="2" t="n">
        <v>105.559428049145</v>
      </c>
      <c r="F108" s="2" t="n">
        <v>105.535623714193</v>
      </c>
      <c r="G108" s="2" t="n">
        <v>106.976660345878</v>
      </c>
      <c r="H108" s="2" t="n">
        <v>106.472689124268</v>
      </c>
      <c r="I108" s="2" t="n">
        <v>104.717049607561</v>
      </c>
      <c r="J108" s="2" t="n">
        <v>105.628682439474</v>
      </c>
      <c r="K108" s="2" t="n">
        <v>104.892030501037</v>
      </c>
      <c r="L108" s="2" t="n">
        <v>104.165774843388</v>
      </c>
      <c r="M108" s="2" t="n">
        <v>105.607195644</v>
      </c>
      <c r="N108" s="2" t="n">
        <v>104.918468087315</v>
      </c>
      <c r="O108" s="2" t="n">
        <v>366</v>
      </c>
      <c r="Q108" s="1" t="n">
        <v>80.068083809346</v>
      </c>
    </row>
    <row r="109" customFormat="false" ht="15" hidden="false" customHeight="false" outlineLevel="0" collapsed="false">
      <c r="A109" s="2" t="n">
        <v>2016</v>
      </c>
      <c r="B109" s="2" t="n">
        <v>4</v>
      </c>
      <c r="C109" s="2" t="n">
        <v>105.150643406274</v>
      </c>
      <c r="D109" s="2" t="n">
        <v>104.858165128118</v>
      </c>
      <c r="E109" s="2" t="n">
        <v>105.41514725712</v>
      </c>
      <c r="F109" s="2" t="n">
        <v>105.312157414619</v>
      </c>
      <c r="G109" s="2" t="n">
        <v>107.367984294699</v>
      </c>
      <c r="H109" s="2" t="n">
        <v>106.441491180187</v>
      </c>
      <c r="I109" s="2" t="n">
        <v>104.463535556169</v>
      </c>
      <c r="J109" s="2" t="n">
        <v>105.795004805948</v>
      </c>
      <c r="K109" s="2" t="n">
        <v>104.840612563536</v>
      </c>
      <c r="L109" s="2" t="n">
        <v>103.880074506091</v>
      </c>
      <c r="M109" s="2" t="n">
        <v>105.989041561658</v>
      </c>
      <c r="N109" s="2" t="n">
        <v>105.017558491531</v>
      </c>
      <c r="O109" s="2" t="n">
        <v>366</v>
      </c>
      <c r="Q109" s="1" t="n">
        <v>80.8915252847684</v>
      </c>
    </row>
    <row r="110" customFormat="false" ht="15" hidden="false" customHeight="false" outlineLevel="0" collapsed="false">
      <c r="A110" s="2" t="n">
        <v>2017</v>
      </c>
      <c r="B110" s="2" t="n">
        <v>1</v>
      </c>
      <c r="C110" s="2" t="n">
        <v>105.490887074215</v>
      </c>
      <c r="D110" s="2" t="n">
        <v>105.034896085102</v>
      </c>
      <c r="E110" s="2" t="n">
        <v>105.903264271358</v>
      </c>
      <c r="F110" s="2" t="n">
        <v>105.955037379791</v>
      </c>
      <c r="G110" s="2" t="n">
        <v>107.342943113373</v>
      </c>
      <c r="H110" s="2" t="n">
        <v>106.668426407881</v>
      </c>
      <c r="I110" s="2" t="n">
        <v>104.748745879653</v>
      </c>
      <c r="J110" s="2" t="n">
        <v>106.327876757568</v>
      </c>
      <c r="K110" s="2" t="n">
        <v>104.844542398135</v>
      </c>
      <c r="L110" s="2" t="n">
        <v>103.866579079408</v>
      </c>
      <c r="M110" s="2" t="n">
        <v>106.459979051243</v>
      </c>
      <c r="N110" s="2" t="n">
        <v>105.914369287178</v>
      </c>
      <c r="O110" s="2" t="n">
        <v>375</v>
      </c>
      <c r="Q110" s="1" t="n">
        <v>78.6242170176104</v>
      </c>
    </row>
    <row r="111" customFormat="false" ht="15" hidden="false" customHeight="false" outlineLevel="0" collapsed="false">
      <c r="A111" s="2" t="n">
        <v>2017</v>
      </c>
      <c r="B111" s="2" t="n">
        <v>2</v>
      </c>
      <c r="C111" s="2" t="n">
        <v>105.944904403107</v>
      </c>
      <c r="D111" s="2" t="n">
        <v>105.251459467644</v>
      </c>
      <c r="E111" s="2" t="n">
        <v>106.57202398592</v>
      </c>
      <c r="F111" s="2" t="n">
        <v>106.741641717618</v>
      </c>
      <c r="G111" s="2" t="n">
        <v>107.442884582595</v>
      </c>
      <c r="H111" s="2" t="n">
        <v>106.644652620396</v>
      </c>
      <c r="I111" s="2" t="n">
        <v>105.585122097862</v>
      </c>
      <c r="J111" s="2" t="n">
        <v>106.901246349648</v>
      </c>
      <c r="K111" s="2" t="n">
        <v>105.053903089001</v>
      </c>
      <c r="L111" s="2" t="n">
        <v>104.284673479175</v>
      </c>
      <c r="M111" s="2" t="n">
        <v>106.639317098455</v>
      </c>
      <c r="N111" s="2" t="n">
        <v>105.999031335143</v>
      </c>
      <c r="O111" s="2" t="n">
        <v>375</v>
      </c>
      <c r="Q111" s="1" t="n">
        <v>79.1721233555107</v>
      </c>
    </row>
    <row r="112" customFormat="false" ht="15" hidden="false" customHeight="false" outlineLevel="0" collapsed="false">
      <c r="A112" s="2" t="n">
        <v>2017</v>
      </c>
      <c r="B112" s="2" t="n">
        <v>3</v>
      </c>
      <c r="C112" s="2" t="n">
        <v>105.358947026948</v>
      </c>
      <c r="D112" s="2" t="n">
        <v>104.876790583356</v>
      </c>
      <c r="E112" s="2" t="n">
        <v>105.794987053045</v>
      </c>
      <c r="F112" s="2" t="n">
        <v>105.787281448222</v>
      </c>
      <c r="G112" s="2" t="n">
        <v>106.708098212809</v>
      </c>
      <c r="H112" s="2" t="n">
        <v>106.28446394457</v>
      </c>
      <c r="I112" s="2" t="n">
        <v>105.301974572859</v>
      </c>
      <c r="J112" s="2" t="n">
        <v>105.756814183747</v>
      </c>
      <c r="K112" s="2" t="n">
        <v>104.713491445013</v>
      </c>
      <c r="L112" s="2" t="n">
        <v>103.885753012522</v>
      </c>
      <c r="M112" s="2" t="n">
        <v>106.035671170371</v>
      </c>
      <c r="N112" s="2" t="n">
        <v>105.668273131888</v>
      </c>
      <c r="O112" s="2" t="n">
        <v>375</v>
      </c>
      <c r="Q112" s="1" t="n">
        <v>80.5987947312549</v>
      </c>
    </row>
    <row r="113" customFormat="false" ht="15" hidden="false" customHeight="false" outlineLevel="0" collapsed="false">
      <c r="A113" s="2" t="n">
        <v>2017</v>
      </c>
      <c r="B113" s="2" t="n">
        <v>4</v>
      </c>
      <c r="C113" s="2" t="n">
        <v>104.974437995069</v>
      </c>
      <c r="D113" s="2" t="n">
        <v>104.747010372918</v>
      </c>
      <c r="E113" s="2" t="n">
        <v>105.180113036055</v>
      </c>
      <c r="F113" s="2" t="n">
        <v>105.108642729162</v>
      </c>
      <c r="G113" s="2" t="n">
        <v>106.333575764879</v>
      </c>
      <c r="H113" s="2" t="n">
        <v>105.948477207325</v>
      </c>
      <c r="I113" s="2" t="n">
        <v>104.61713869796</v>
      </c>
      <c r="J113" s="2" t="n">
        <v>105.310444340969</v>
      </c>
      <c r="K113" s="2" t="n">
        <v>104.672728676561</v>
      </c>
      <c r="L113" s="2" t="n">
        <v>103.633964295591</v>
      </c>
      <c r="M113" s="2" t="n">
        <v>105.844882860441</v>
      </c>
      <c r="N113" s="2" t="n">
        <v>105.308727114345</v>
      </c>
      <c r="O113" s="2" t="n">
        <v>375</v>
      </c>
      <c r="Q113" s="1" t="n">
        <v>81.123565904233</v>
      </c>
    </row>
    <row r="114" customFormat="false" ht="15" hidden="false" customHeight="false" outlineLevel="0" collapsed="false">
      <c r="A114" s="2" t="n">
        <v>2018</v>
      </c>
      <c r="B114" s="2" t="n">
        <v>1</v>
      </c>
      <c r="C114" s="2" t="n">
        <v>105.333840858986</v>
      </c>
      <c r="D114" s="2" t="n">
        <v>105.241983275887</v>
      </c>
      <c r="E114" s="2" t="n">
        <v>105.416912616015</v>
      </c>
      <c r="F114" s="2" t="n">
        <v>105.218758975139</v>
      </c>
      <c r="G114" s="2" t="n">
        <v>106.926514469599</v>
      </c>
      <c r="H114" s="2" t="n">
        <v>106.618243923434</v>
      </c>
      <c r="I114" s="2" t="n">
        <v>104.774814061972</v>
      </c>
      <c r="J114" s="2" t="n">
        <v>105.974144537005</v>
      </c>
      <c r="K114" s="2" t="n">
        <v>105.290718296898</v>
      </c>
      <c r="L114" s="2" t="n">
        <v>103.732909577834</v>
      </c>
      <c r="M114" s="2" t="n">
        <v>106.393696528621</v>
      </c>
      <c r="N114" s="2" t="n">
        <v>105.598754531184</v>
      </c>
      <c r="O114" s="2" t="n">
        <v>386</v>
      </c>
      <c r="Q114" s="1" t="n">
        <v>78.6094904566452</v>
      </c>
    </row>
    <row r="115" customFormat="false" ht="15" hidden="false" customHeight="false" outlineLevel="0" collapsed="false">
      <c r="A115" s="2" t="n">
        <v>2018</v>
      </c>
      <c r="B115" s="2" t="n">
        <v>2</v>
      </c>
      <c r="C115" s="2" t="n">
        <v>105.061626274654</v>
      </c>
      <c r="D115" s="2" t="n">
        <v>104.932196614249</v>
      </c>
      <c r="E115" s="2" t="n">
        <v>105.17867648367</v>
      </c>
      <c r="F115" s="2" t="n">
        <v>105.224423930647</v>
      </c>
      <c r="G115" s="2" t="n">
        <v>106.604354100687</v>
      </c>
      <c r="H115" s="2" t="n">
        <v>105.683369190505</v>
      </c>
      <c r="I115" s="2" t="n">
        <v>104.179924833042</v>
      </c>
      <c r="J115" s="2" t="n">
        <v>105.547207811791</v>
      </c>
      <c r="K115" s="2" t="n">
        <v>105.130122860797</v>
      </c>
      <c r="L115" s="2" t="n">
        <v>103.460592287393</v>
      </c>
      <c r="M115" s="2" t="n">
        <v>105.861302878185</v>
      </c>
      <c r="N115" s="2" t="n">
        <v>104.764178190726</v>
      </c>
      <c r="O115" s="2" t="n">
        <v>386</v>
      </c>
      <c r="Q115" s="1" t="n">
        <v>79.7188863545955</v>
      </c>
    </row>
    <row r="116" customFormat="false" ht="15" hidden="false" customHeight="false" outlineLevel="0" collapsed="false">
      <c r="A116" s="2" t="n">
        <v>2018</v>
      </c>
      <c r="B116" s="2" t="n">
        <v>3</v>
      </c>
      <c r="C116" s="2" t="n">
        <v>105.12664933991</v>
      </c>
      <c r="D116" s="2" t="n">
        <v>105.043695169661</v>
      </c>
      <c r="E116" s="2" t="n">
        <v>105.201669261433</v>
      </c>
      <c r="F116" s="2" t="n">
        <v>105.206830499589</v>
      </c>
      <c r="G116" s="2" t="n">
        <v>106.342434308007</v>
      </c>
      <c r="H116" s="2" t="n">
        <v>105.655852956887</v>
      </c>
      <c r="I116" s="2" t="n">
        <v>104.330462173324</v>
      </c>
      <c r="J116" s="2" t="n">
        <v>105.889687555484</v>
      </c>
      <c r="K116" s="2" t="n">
        <v>105.29983255839</v>
      </c>
      <c r="L116" s="2" t="n">
        <v>103.302147748632</v>
      </c>
      <c r="M116" s="2" t="n">
        <v>105.947834847833</v>
      </c>
      <c r="N116" s="2" t="n">
        <v>104.894887941792</v>
      </c>
      <c r="O116" s="2" t="n">
        <v>386</v>
      </c>
      <c r="Q116" s="1" t="n">
        <v>80.1034446265281</v>
      </c>
    </row>
    <row r="117" customFormat="false" ht="15" hidden="false" customHeight="false" outlineLevel="0" collapsed="false">
      <c r="A117" s="2" t="n">
        <v>2018</v>
      </c>
      <c r="B117" s="2" t="n">
        <v>4</v>
      </c>
      <c r="C117" s="2" t="n">
        <v>105.30277322938</v>
      </c>
      <c r="D117" s="2" t="n">
        <v>105.171857318048</v>
      </c>
      <c r="E117" s="2" t="n">
        <v>105.421167535113</v>
      </c>
      <c r="F117" s="2" t="n">
        <v>105.61434604952</v>
      </c>
      <c r="G117" s="2" t="n">
        <v>106.473628015456</v>
      </c>
      <c r="H117" s="2" t="n">
        <v>105.900415475409</v>
      </c>
      <c r="I117" s="2" t="n">
        <v>104.079846848948</v>
      </c>
      <c r="J117" s="2" t="n">
        <v>105.867369750648</v>
      </c>
      <c r="K117" s="2" t="n">
        <v>105.374383225002</v>
      </c>
      <c r="L117" s="2" t="n">
        <v>103.451956070763</v>
      </c>
      <c r="M117" s="2" t="n">
        <v>106.245685317705</v>
      </c>
      <c r="N117" s="2" t="n">
        <v>105.111105293436</v>
      </c>
      <c r="O117" s="2" t="n">
        <v>386</v>
      </c>
      <c r="Q117" s="1" t="n">
        <v>80.6923164137043</v>
      </c>
    </row>
    <row r="118" customFormat="false" ht="15" hidden="false" customHeight="false" outlineLevel="0" collapsed="false">
      <c r="A118" s="2" t="n">
        <v>2019</v>
      </c>
      <c r="B118" s="2" t="n">
        <v>1</v>
      </c>
      <c r="C118" s="2" t="n">
        <v>105.537390943414</v>
      </c>
      <c r="D118" s="2" t="n">
        <v>105.383154832765</v>
      </c>
      <c r="E118" s="2" t="n">
        <v>105.6768749607</v>
      </c>
      <c r="F118" s="2" t="n">
        <v>105.811102978817</v>
      </c>
      <c r="G118" s="2" t="n">
        <v>106.453457915655</v>
      </c>
      <c r="H118" s="2" t="n">
        <v>106.492840016023</v>
      </c>
      <c r="I118" s="2" t="n">
        <v>104.528840878565</v>
      </c>
      <c r="J118" s="2" t="n">
        <v>105.97106517729</v>
      </c>
      <c r="K118" s="2" t="n">
        <v>105.541126576691</v>
      </c>
      <c r="L118" s="2" t="n">
        <v>103.729417926012</v>
      </c>
      <c r="M118" s="2" t="n">
        <v>106.733178192953</v>
      </c>
      <c r="N118" s="2" t="n">
        <v>105.248584426512</v>
      </c>
      <c r="O118" s="2" t="n">
        <v>394</v>
      </c>
      <c r="Q118" s="1" t="n">
        <v>78.7032739397182</v>
      </c>
    </row>
    <row r="119" customFormat="false" ht="15" hidden="false" customHeight="false" outlineLevel="0" collapsed="false">
      <c r="A119" s="2" t="n">
        <v>2019</v>
      </c>
      <c r="B119" s="2" t="n">
        <v>2</v>
      </c>
      <c r="C119" s="2" t="n">
        <v>105.472891746476</v>
      </c>
      <c r="D119" s="2" t="n">
        <v>105.212871443456</v>
      </c>
      <c r="E119" s="2" t="n">
        <v>105.708042103214</v>
      </c>
      <c r="F119" s="2" t="n">
        <v>105.920426988875</v>
      </c>
      <c r="G119" s="2" t="n">
        <v>106.411202986217</v>
      </c>
      <c r="H119" s="2" t="n">
        <v>106.16800094946</v>
      </c>
      <c r="I119" s="2" t="n">
        <v>104.582878490399</v>
      </c>
      <c r="J119" s="2" t="n">
        <v>105.771303244908</v>
      </c>
      <c r="K119" s="2" t="n">
        <v>105.436624484981</v>
      </c>
      <c r="L119" s="2" t="n">
        <v>103.238076126629</v>
      </c>
      <c r="M119" s="2" t="n">
        <v>106.608647418371</v>
      </c>
      <c r="N119" s="2" t="n">
        <v>105.059826078916</v>
      </c>
      <c r="O119" s="2" t="n">
        <v>394</v>
      </c>
      <c r="Q119" s="1" t="n">
        <v>79.5614926013539</v>
      </c>
    </row>
    <row r="120" customFormat="false" ht="15" hidden="false" customHeight="false" outlineLevel="0" collapsed="false">
      <c r="A120" s="2" t="n">
        <v>2019</v>
      </c>
      <c r="B120" s="2" t="n">
        <v>3</v>
      </c>
      <c r="C120" s="2" t="n">
        <v>105.465077377946</v>
      </c>
      <c r="D120" s="2" t="n">
        <v>105.412723083261</v>
      </c>
      <c r="E120" s="2" t="n">
        <v>105.512424184826</v>
      </c>
      <c r="F120" s="2" t="n">
        <v>105.739695070371</v>
      </c>
      <c r="G120" s="2" t="n">
        <v>106.451473165896</v>
      </c>
      <c r="H120" s="2" t="n">
        <v>106.09782264761</v>
      </c>
      <c r="I120" s="2" t="n">
        <v>104.245089226071</v>
      </c>
      <c r="J120" s="2" t="n">
        <v>105.467534378591</v>
      </c>
      <c r="K120" s="2" t="n">
        <v>105.718215895313</v>
      </c>
      <c r="L120" s="2" t="n">
        <v>103.259384876969</v>
      </c>
      <c r="M120" s="2" t="n">
        <v>106.626009582788</v>
      </c>
      <c r="N120" s="2" t="n">
        <v>105.206590642542</v>
      </c>
      <c r="O120" s="2" t="n">
        <v>394</v>
      </c>
      <c r="Q120" s="1" t="n">
        <v>80.1589598599</v>
      </c>
    </row>
    <row r="121" customFormat="false" ht="15" hidden="false" customHeight="false" outlineLevel="0" collapsed="false">
      <c r="A121" s="2" t="n">
        <v>2019</v>
      </c>
      <c r="B121" s="2" t="n">
        <v>4</v>
      </c>
      <c r="C121" s="2" t="n">
        <v>105.468976509901</v>
      </c>
      <c r="D121" s="2" t="n">
        <v>105.471530954958</v>
      </c>
      <c r="E121" s="2" t="n">
        <v>105.466666387733</v>
      </c>
      <c r="F121" s="2" t="n">
        <v>105.721683487939</v>
      </c>
      <c r="G121" s="2" t="n">
        <v>106.447341274213</v>
      </c>
      <c r="H121" s="2" t="n">
        <v>106.072615777693</v>
      </c>
      <c r="I121" s="2" t="n">
        <v>104.073017102924</v>
      </c>
      <c r="J121" s="2" t="n">
        <v>105.46707189591</v>
      </c>
      <c r="K121" s="2" t="n">
        <v>105.593962272783</v>
      </c>
      <c r="L121" s="2" t="n">
        <v>103.785515931889</v>
      </c>
      <c r="M121" s="2" t="n">
        <v>106.664312861179</v>
      </c>
      <c r="N121" s="2" t="n">
        <v>105.641632592509</v>
      </c>
      <c r="O121" s="2" t="n">
        <v>394</v>
      </c>
      <c r="Q121" s="1" t="n">
        <v>80.8245161035507</v>
      </c>
    </row>
    <row r="122" customFormat="false" ht="15" hidden="false" customHeight="false" outlineLevel="0" collapsed="false">
      <c r="A122" s="2" t="n">
        <v>2020</v>
      </c>
      <c r="B122" s="2" t="n">
        <v>1</v>
      </c>
      <c r="C122" s="2" t="n">
        <v>105.414251920888</v>
      </c>
      <c r="D122" s="2" t="n">
        <v>105.410866539466</v>
      </c>
      <c r="E122" s="2" t="n">
        <v>105.417313503542</v>
      </c>
      <c r="F122" s="2" t="n">
        <v>105.661801557754</v>
      </c>
      <c r="G122" s="2" t="n">
        <v>105.933407110134</v>
      </c>
      <c r="H122" s="2" t="n">
        <v>106.257906570295</v>
      </c>
      <c r="I122" s="2" t="n">
        <v>104.218217415417</v>
      </c>
      <c r="J122" s="2" t="n">
        <v>105.157034707438</v>
      </c>
      <c r="K122" s="2" t="n">
        <v>105.492132632604</v>
      </c>
      <c r="L122" s="2" t="n">
        <v>103.785202821957</v>
      </c>
      <c r="M122" s="2" t="n">
        <v>106.64949731816</v>
      </c>
      <c r="N122" s="2" t="n">
        <v>105.670280151616</v>
      </c>
      <c r="O122" s="2" t="n">
        <v>400</v>
      </c>
      <c r="Q122" s="1" t="n">
        <v>78.919576103865</v>
      </c>
    </row>
    <row r="123" customFormat="false" ht="15" hidden="false" customHeight="false" outlineLevel="0" collapsed="false">
      <c r="A123" s="2" t="n">
        <v>2020</v>
      </c>
      <c r="B123" s="2" t="n">
        <v>2</v>
      </c>
      <c r="C123" s="2" t="n">
        <v>106.152053314759</v>
      </c>
      <c r="D123" s="2" t="n">
        <v>105.668128357893</v>
      </c>
      <c r="E123" s="2" t="n">
        <v>106.589692702606</v>
      </c>
      <c r="F123" s="2" t="n">
        <v>106.90760418186</v>
      </c>
      <c r="G123" s="2" t="n">
        <v>106.498038251425</v>
      </c>
      <c r="H123" s="2" t="n">
        <v>108.404743537434</v>
      </c>
      <c r="I123" s="2" t="n">
        <v>105.117919083611</v>
      </c>
      <c r="J123" s="2" t="n">
        <v>105.915996732528</v>
      </c>
      <c r="K123" s="2" t="n">
        <v>105.435796787852</v>
      </c>
      <c r="L123" s="2" t="n">
        <v>104.90874180826</v>
      </c>
      <c r="M123" s="2" t="n">
        <v>107.625271688263</v>
      </c>
      <c r="N123" s="2" t="n">
        <v>105.945225773372</v>
      </c>
      <c r="O123" s="2" t="n">
        <v>400</v>
      </c>
      <c r="Q123" s="1" t="n">
        <v>78.9602207181246</v>
      </c>
    </row>
    <row r="124" customFormat="false" ht="15" hidden="false" customHeight="false" outlineLevel="0" collapsed="false">
      <c r="A124" s="2" t="n">
        <v>2020</v>
      </c>
      <c r="B124" s="2" t="n">
        <v>3</v>
      </c>
      <c r="C124" s="2" t="n">
        <v>104.692229122535</v>
      </c>
      <c r="D124" s="2" t="n">
        <v>104.521943537666</v>
      </c>
      <c r="E124" s="2" t="n">
        <v>104.84622754329</v>
      </c>
      <c r="F124" s="2" t="n">
        <v>105.236138978072</v>
      </c>
      <c r="G124" s="2" t="n">
        <v>104.897530565445</v>
      </c>
      <c r="H124" s="2" t="n">
        <v>106.604934638512</v>
      </c>
      <c r="I124" s="2" t="n">
        <v>103.048139529506</v>
      </c>
      <c r="J124" s="2" t="n">
        <v>104.377767408932</v>
      </c>
      <c r="K124" s="2" t="n">
        <v>104.49890614317</v>
      </c>
      <c r="L124" s="2" t="n">
        <v>103.268653852902</v>
      </c>
      <c r="M124" s="2" t="n">
        <v>105.646951983312</v>
      </c>
      <c r="N124" s="2" t="n">
        <v>104.971272013122</v>
      </c>
      <c r="O124" s="2" t="n">
        <v>400</v>
      </c>
      <c r="Q124" s="1" t="n">
        <v>81.2706714423633</v>
      </c>
    </row>
    <row r="125" customFormat="false" ht="15" hidden="false" customHeight="false" outlineLevel="0" collapsed="false">
      <c r="A125" s="2" t="n">
        <v>2020</v>
      </c>
      <c r="B125" s="2" t="n">
        <v>4</v>
      </c>
      <c r="C125" s="2" t="n">
        <v>104.255949350913</v>
      </c>
      <c r="D125" s="2" t="n">
        <v>104.008053691185</v>
      </c>
      <c r="E125" s="2" t="n">
        <v>104.48013474006</v>
      </c>
      <c r="F125" s="2" t="n">
        <v>104.904300509849</v>
      </c>
      <c r="G125" s="2" t="n">
        <v>104.552314313605</v>
      </c>
      <c r="H125" s="2" t="n">
        <v>106.30094715482</v>
      </c>
      <c r="I125" s="2" t="n">
        <v>102.613189938468</v>
      </c>
      <c r="J125" s="2" t="n">
        <v>103.822984069725</v>
      </c>
      <c r="K125" s="2" t="n">
        <v>103.946104721928</v>
      </c>
      <c r="L125" s="2" t="n">
        <v>103.072843551682</v>
      </c>
      <c r="M125" s="2" t="n">
        <v>105.197122239429</v>
      </c>
      <c r="N125" s="2" t="n">
        <v>104.278317247437</v>
      </c>
      <c r="O125" s="2" t="n">
        <v>400</v>
      </c>
      <c r="Q125" s="1" t="n">
        <v>81.1657430331955</v>
      </c>
    </row>
    <row r="126" customFormat="false" ht="15" hidden="false" customHeight="false" outlineLevel="0" collapsed="false">
      <c r="A126" s="2" t="n">
        <v>2021</v>
      </c>
      <c r="B126" s="2" t="n">
        <v>1</v>
      </c>
      <c r="C126" s="2" t="n">
        <v>104.473837340587</v>
      </c>
      <c r="D126" s="2" t="n">
        <v>104.221414567177</v>
      </c>
      <c r="E126" s="2" t="n">
        <v>104.70211684233</v>
      </c>
      <c r="F126" s="2" t="n">
        <v>104.937663156537</v>
      </c>
      <c r="G126" s="2" t="n">
        <v>104.914097519959</v>
      </c>
      <c r="H126" s="2" t="n">
        <v>106.519597368035</v>
      </c>
      <c r="I126" s="2" t="n">
        <v>103.367660458727</v>
      </c>
      <c r="J126" s="2" t="n">
        <v>104.052846965682</v>
      </c>
      <c r="K126" s="2" t="n">
        <v>104.082897872539</v>
      </c>
      <c r="L126" s="2" t="n">
        <v>103.49417270474</v>
      </c>
      <c r="M126" s="2" t="n">
        <v>105.800907938173</v>
      </c>
      <c r="N126" s="2" t="n">
        <v>104.338350299171</v>
      </c>
      <c r="O126" s="2" t="n">
        <v>400</v>
      </c>
      <c r="Q126" s="1" t="n">
        <v>78.7141199098841</v>
      </c>
    </row>
    <row r="127" customFormat="false" ht="15" hidden="false" customHeight="false" outlineLevel="0" collapsed="false">
      <c r="A127" s="2" t="n">
        <v>2021</v>
      </c>
      <c r="B127" s="2" t="n">
        <v>2</v>
      </c>
      <c r="C127" s="2" t="n">
        <v>104.987466992606</v>
      </c>
      <c r="D127" s="2" t="n">
        <v>104.593107502295</v>
      </c>
      <c r="E127" s="2" t="n">
        <v>105.344107507799</v>
      </c>
      <c r="F127" s="2" t="n">
        <v>105.775733829179</v>
      </c>
      <c r="G127" s="2" t="n">
        <v>105.554760310571</v>
      </c>
      <c r="H127" s="2" t="n">
        <v>106.304755133772</v>
      </c>
      <c r="I127" s="2" t="n">
        <v>103.685862247846</v>
      </c>
      <c r="J127" s="2" t="n">
        <v>104.916236455879</v>
      </c>
      <c r="K127" s="2" t="n">
        <v>104.390897558516</v>
      </c>
      <c r="L127" s="2" t="n">
        <v>103.822266876656</v>
      </c>
      <c r="M127" s="2" t="n">
        <v>106.453623474302</v>
      </c>
      <c r="N127" s="2" t="n">
        <v>104.821023200375</v>
      </c>
      <c r="O127" s="2" t="n">
        <v>400</v>
      </c>
      <c r="Q127" s="1" t="n">
        <v>79.1238681762521</v>
      </c>
    </row>
    <row r="128" customFormat="false" ht="15" hidden="false" customHeight="false" outlineLevel="0" collapsed="false">
      <c r="A128" s="2" t="n">
        <v>2021</v>
      </c>
      <c r="B128" s="2" t="n">
        <v>3</v>
      </c>
      <c r="C128" s="2" t="n">
        <v>105.532277249572</v>
      </c>
      <c r="D128" s="2" t="n">
        <v>105.136721740386</v>
      </c>
      <c r="E128" s="2" t="n">
        <v>105.889999389016</v>
      </c>
      <c r="F128" s="2" t="n">
        <v>106.285303601913</v>
      </c>
      <c r="G128" s="2" t="n">
        <v>106.037413549759</v>
      </c>
      <c r="H128" s="2" t="n">
        <v>106.401517465412</v>
      </c>
      <c r="I128" s="2" t="n">
        <v>104.358157226998</v>
      </c>
      <c r="J128" s="2" t="n">
        <v>105.993574387727</v>
      </c>
      <c r="K128" s="2" t="n">
        <v>104.957924859334</v>
      </c>
      <c r="L128" s="2" t="n">
        <v>104.159733715462</v>
      </c>
      <c r="M128" s="2" t="n">
        <v>107.451596173522</v>
      </c>
      <c r="N128" s="2" t="n">
        <v>105.117263918409</v>
      </c>
      <c r="O128" s="2" t="n">
        <v>400</v>
      </c>
      <c r="Q128" s="1" t="n">
        <v>79.7392310959229</v>
      </c>
    </row>
    <row r="129" customFormat="false" ht="15" hidden="false" customHeight="false" outlineLevel="0" collapsed="false">
      <c r="A129" s="2" t="n">
        <v>2021</v>
      </c>
      <c r="B129" s="2" t="n">
        <v>4</v>
      </c>
      <c r="C129" s="2" t="n">
        <v>106.081243504608</v>
      </c>
      <c r="D129" s="2" t="n">
        <v>105.841872849809</v>
      </c>
      <c r="E129" s="2" t="n">
        <v>106.297719272905</v>
      </c>
      <c r="F129" s="2" t="n">
        <v>106.65962875626</v>
      </c>
      <c r="G129" s="2" t="n">
        <v>106.221075625915</v>
      </c>
      <c r="H129" s="2" t="n">
        <v>106.884692072662</v>
      </c>
      <c r="I129" s="2" t="n">
        <v>104.972247310097</v>
      </c>
      <c r="J129" s="2" t="n">
        <v>106.251971648999</v>
      </c>
      <c r="K129" s="2" t="n">
        <v>105.766167282742</v>
      </c>
      <c r="L129" s="2" t="n">
        <v>104.768572262279</v>
      </c>
      <c r="M129" s="2" t="n">
        <v>108.393909760128</v>
      </c>
      <c r="N129" s="2" t="n">
        <v>105.283063465857</v>
      </c>
      <c r="O129" s="2" t="n">
        <v>400</v>
      </c>
      <c r="Q129" s="1" t="n">
        <v>80.4092251038578</v>
      </c>
    </row>
    <row r="130" customFormat="false" ht="15" hidden="false" customHeight="false" outlineLevel="0" collapsed="false">
      <c r="A130" s="2" t="n">
        <v>2022</v>
      </c>
      <c r="B130" s="2" t="n">
        <v>1</v>
      </c>
      <c r="C130" s="2" t="n">
        <v>107.228391653468</v>
      </c>
      <c r="D130" s="2" t="n">
        <v>106.89500613316</v>
      </c>
      <c r="E130" s="2" t="n">
        <v>107.529890125401</v>
      </c>
      <c r="F130" s="2" t="n">
        <v>107.987766033286</v>
      </c>
      <c r="G130" s="2" t="n">
        <v>106.700089071786</v>
      </c>
      <c r="H130" s="2" t="n">
        <v>107.751926929521</v>
      </c>
      <c r="I130" s="2" t="n">
        <v>106.269447802919</v>
      </c>
      <c r="J130" s="2" t="n">
        <v>107.643035555752</v>
      </c>
      <c r="K130" s="2" t="n">
        <v>106.829856675419</v>
      </c>
      <c r="L130" s="2" t="n">
        <v>105.82839365</v>
      </c>
      <c r="M130" s="2" t="n">
        <v>109.392112797422</v>
      </c>
      <c r="N130" s="2" t="n">
        <v>106.324571779233</v>
      </c>
      <c r="O130" s="2" t="n">
        <v>425</v>
      </c>
      <c r="Q130" s="1" t="n">
        <v>78.0347697832917</v>
      </c>
    </row>
    <row r="131" customFormat="false" ht="15" hidden="false" customHeight="false" outlineLevel="0" collapsed="false">
      <c r="A131" s="2" t="n">
        <v>2022</v>
      </c>
      <c r="B131" s="2" t="n">
        <v>2</v>
      </c>
      <c r="C131" s="2" t="n">
        <v>108.665438636281</v>
      </c>
      <c r="D131" s="2" t="n">
        <v>108.041933786975</v>
      </c>
      <c r="E131" s="2" t="n">
        <v>109.229307634355</v>
      </c>
      <c r="F131" s="2" t="n">
        <v>109.740382227634</v>
      </c>
      <c r="G131" s="2" t="n">
        <v>107.665706468667</v>
      </c>
      <c r="H131" s="2" t="n">
        <v>109.406669608741</v>
      </c>
      <c r="I131" s="2" t="n">
        <v>108.198143221775</v>
      </c>
      <c r="J131" s="2" t="n">
        <v>109.034875193526</v>
      </c>
      <c r="K131" s="2" t="n">
        <v>107.841791680746</v>
      </c>
      <c r="L131" s="2" t="n">
        <v>107.219372288096</v>
      </c>
      <c r="M131" s="2" t="n">
        <v>110.546404144455</v>
      </c>
      <c r="N131" s="2" t="n">
        <v>107.827630923688</v>
      </c>
      <c r="O131" s="2" t="n">
        <v>425</v>
      </c>
      <c r="Q131" s="1" t="n">
        <v>78.4613499982757</v>
      </c>
    </row>
    <row r="132" customFormat="false" ht="15" hidden="false" customHeight="false" outlineLevel="0" collapsed="false">
      <c r="A132" s="2" t="n">
        <v>2022</v>
      </c>
      <c r="B132" s="2" t="n">
        <v>3</v>
      </c>
      <c r="C132" s="2" t="n">
        <v>109.662008713931</v>
      </c>
      <c r="D132" s="2" t="n">
        <v>109.276074953885</v>
      </c>
      <c r="E132" s="2" t="n">
        <v>110.011029387695</v>
      </c>
      <c r="F132" s="2" t="n">
        <v>110.497075682857</v>
      </c>
      <c r="G132" s="2" t="n">
        <v>108.669145371057</v>
      </c>
      <c r="H132" s="2" t="n">
        <v>110.175243554807</v>
      </c>
      <c r="I132" s="2" t="n">
        <v>108.878942947392</v>
      </c>
      <c r="J132" s="2" t="n">
        <v>110.097569243746</v>
      </c>
      <c r="K132" s="2" t="n">
        <v>109.263957398361</v>
      </c>
      <c r="L132" s="2" t="n">
        <v>108.129082953702</v>
      </c>
      <c r="M132" s="2" t="n">
        <v>111.511202114236</v>
      </c>
      <c r="N132" s="2" t="n">
        <v>108.745044790508</v>
      </c>
      <c r="O132" s="2" t="n">
        <v>425</v>
      </c>
      <c r="Q132" s="1" t="n">
        <v>79.4246182804694</v>
      </c>
    </row>
    <row r="133" customFormat="false" ht="15" hidden="false" customHeight="false" outlineLevel="0" collapsed="false">
      <c r="A133" s="2" t="n">
        <v>2022</v>
      </c>
      <c r="B133" s="2" t="n">
        <v>4</v>
      </c>
      <c r="C133" s="2" t="n">
        <v>110.114154178387</v>
      </c>
      <c r="D133" s="2" t="n">
        <v>109.975784052546</v>
      </c>
      <c r="E133" s="2" t="n">
        <v>110.239289731555</v>
      </c>
      <c r="F133" s="2" t="n">
        <v>110.794252139056</v>
      </c>
      <c r="G133" s="2" t="n">
        <v>109.260521161438</v>
      </c>
      <c r="H133" s="2" t="n">
        <v>110.106752871608</v>
      </c>
      <c r="I133" s="2" t="n">
        <v>108.815489677355</v>
      </c>
      <c r="J133" s="2" t="n">
        <v>110.530372269357</v>
      </c>
      <c r="K133" s="2" t="n">
        <v>110.064075464896</v>
      </c>
      <c r="L133" s="2" t="n">
        <v>108.549372144959</v>
      </c>
      <c r="M133" s="2" t="n">
        <v>112.187430269052</v>
      </c>
      <c r="N133" s="2" t="n">
        <v>109.286335836798</v>
      </c>
      <c r="O133" s="2" t="n">
        <v>425</v>
      </c>
      <c r="Q133" s="1" t="n">
        <v>80.4956142277642</v>
      </c>
    </row>
    <row r="134" customFormat="false" ht="15" hidden="false" customHeight="false" outlineLevel="0" collapsed="false">
      <c r="A134" s="2" t="n">
        <v>2023</v>
      </c>
      <c r="B134" s="2" t="n">
        <v>1</v>
      </c>
      <c r="C134" s="2" t="n">
        <v>110.397594317166</v>
      </c>
      <c r="D134" s="2" t="n">
        <v>110.122181577564</v>
      </c>
      <c r="E134" s="2" t="n">
        <v>110.64666488287</v>
      </c>
      <c r="F134" s="2" t="n">
        <v>111.214157646975</v>
      </c>
      <c r="G134" s="2" t="n">
        <v>109.332692994276</v>
      </c>
      <c r="H134" s="2" t="n">
        <v>110.222479598445</v>
      </c>
      <c r="I134" s="2" t="n">
        <v>109.510369811813</v>
      </c>
      <c r="J134" s="2" t="n">
        <v>110.715680095232</v>
      </c>
      <c r="K134" s="2" t="n">
        <v>110.287644204235</v>
      </c>
      <c r="L134" s="2" t="n">
        <v>108.648772476946</v>
      </c>
      <c r="M134" s="2" t="n">
        <v>112.384293434094</v>
      </c>
      <c r="N134" s="2" t="n">
        <v>109.10030793227</v>
      </c>
      <c r="O134" s="2" t="n">
        <v>450</v>
      </c>
      <c r="Q134" s="1" t="n">
        <v>78.6761103637299</v>
      </c>
    </row>
    <row r="135" customFormat="false" ht="15" hidden="false" customHeight="false" outlineLevel="0" collapsed="false">
      <c r="A135" s="2" t="n">
        <v>2023</v>
      </c>
      <c r="B135" s="2" t="n">
        <v>2</v>
      </c>
      <c r="C135" s="2" t="n">
        <v>110.872665883349</v>
      </c>
      <c r="D135" s="2" t="n">
        <v>110.357569693719</v>
      </c>
      <c r="E135" s="2" t="n">
        <v>111.338495094912</v>
      </c>
      <c r="F135" s="2" t="n">
        <v>111.880637701809</v>
      </c>
      <c r="G135" s="2" t="n">
        <v>109.887647159786</v>
      </c>
      <c r="H135" s="2" t="n">
        <v>110.193441430963</v>
      </c>
      <c r="I135" s="2" t="n">
        <v>110.660304032318</v>
      </c>
      <c r="J135" s="2" t="n">
        <v>111.343966848065</v>
      </c>
      <c r="K135" s="2" t="n">
        <v>110.497907963341</v>
      </c>
      <c r="L135" s="2" t="n">
        <v>108.718110913079</v>
      </c>
      <c r="M135" s="2" t="n">
        <v>112.752705781281</v>
      </c>
      <c r="N135" s="2" t="n">
        <v>109.504270656986</v>
      </c>
      <c r="O135" s="2" t="n">
        <v>450</v>
      </c>
      <c r="Q135" s="1" t="n">
        <v>79.1721687083274</v>
      </c>
    </row>
    <row r="136" customFormat="false" ht="15" hidden="false" customHeight="false" outlineLevel="0" collapsed="false">
      <c r="A136" s="2" t="n">
        <v>2023</v>
      </c>
      <c r="B136" s="2" t="n">
        <v>3</v>
      </c>
      <c r="C136" s="2" t="n">
        <v>112.169848642022</v>
      </c>
      <c r="D136" s="2" t="n">
        <v>111.251818352697</v>
      </c>
      <c r="E136" s="2" t="n">
        <v>113.000072849609</v>
      </c>
      <c r="F136" s="2" t="n">
        <v>113.768861946403</v>
      </c>
      <c r="G136" s="2" t="n">
        <v>111.108356793511</v>
      </c>
      <c r="H136" s="2" t="n">
        <v>111.45706962532</v>
      </c>
      <c r="I136" s="2" t="n">
        <v>111.963524369983</v>
      </c>
      <c r="J136" s="2" t="n">
        <v>112.959683885774</v>
      </c>
      <c r="K136" s="2" t="n">
        <v>111.30176206157</v>
      </c>
      <c r="L136" s="2" t="n">
        <v>109.912451919402</v>
      </c>
      <c r="M136" s="2" t="n">
        <v>113.627155610071</v>
      </c>
      <c r="N136" s="2" t="n">
        <v>110.525684359899</v>
      </c>
      <c r="O136" s="2" t="n">
        <v>450</v>
      </c>
      <c r="Q136" s="1" t="n">
        <v>79.2260952598721</v>
      </c>
    </row>
    <row r="137" customFormat="false" ht="15" hidden="false" customHeight="false" outlineLevel="0" collapsed="false">
      <c r="A137" s="2" t="n">
        <v>2023</v>
      </c>
      <c r="B137" s="2" t="n">
        <v>4</v>
      </c>
      <c r="C137" s="2" t="n">
        <v>111.881688987881</v>
      </c>
      <c r="D137" s="2" t="n">
        <v>111.061380285588</v>
      </c>
      <c r="E137" s="2" t="n">
        <v>112.623538304029</v>
      </c>
      <c r="F137" s="2" t="n">
        <v>113.505108428476</v>
      </c>
      <c r="G137" s="2" t="n">
        <v>111.27683434617</v>
      </c>
      <c r="H137" s="2" t="n">
        <v>111.094851525025</v>
      </c>
      <c r="I137" s="2" t="n">
        <v>110.760654609884</v>
      </c>
      <c r="J137" s="2" t="n">
        <v>113.324999335129</v>
      </c>
      <c r="K137" s="2" t="n">
        <v>111.346338581696</v>
      </c>
      <c r="L137" s="2" t="n">
        <v>109.056484955119</v>
      </c>
      <c r="M137" s="2" t="n">
        <v>113.439180061957</v>
      </c>
      <c r="N137" s="2" t="n">
        <v>109.932403260018</v>
      </c>
      <c r="O137" s="2" t="n">
        <v>450</v>
      </c>
      <c r="Q137" s="1" t="n">
        <v>81.0356815331653</v>
      </c>
    </row>
    <row r="138" customFormat="false" ht="15" hidden="false" customHeight="false" outlineLevel="0" collapsed="false">
      <c r="A138" s="2" t="n">
        <v>2024</v>
      </c>
      <c r="B138" s="2" t="n">
        <v>1</v>
      </c>
      <c r="C138" s="2" t="n">
        <v>112.031841115164</v>
      </c>
      <c r="D138" s="2" t="n">
        <v>111.038359572789</v>
      </c>
      <c r="E138" s="2" t="n">
        <v>112.930299952375</v>
      </c>
      <c r="F138" s="2" t="n">
        <v>113.651263159966</v>
      </c>
      <c r="G138" s="2" t="n">
        <v>112.338376094469</v>
      </c>
      <c r="H138" s="2" t="n">
        <v>111.232598120928</v>
      </c>
      <c r="I138" s="2" t="n">
        <v>111.337834347947</v>
      </c>
      <c r="J138" s="2" t="n">
        <v>113.716618413676</v>
      </c>
      <c r="K138" s="2" t="n">
        <v>111.230649518339</v>
      </c>
      <c r="L138" s="2" t="n">
        <v>109.162651829159</v>
      </c>
      <c r="M138" s="2" t="n">
        <v>113.780264563083</v>
      </c>
      <c r="N138" s="2" t="n">
        <v>109.921388808333</v>
      </c>
      <c r="O138" s="2" t="n">
        <v>460</v>
      </c>
      <c r="Q138" s="1" t="n">
        <v>78.7729090748131</v>
      </c>
    </row>
    <row r="139" customFormat="false" ht="15" hidden="false" customHeight="false" outlineLevel="0" collapsed="false">
      <c r="A139" s="2" t="n">
        <v>2024</v>
      </c>
      <c r="B139" s="2" t="n">
        <v>2</v>
      </c>
      <c r="C139" s="2" t="n">
        <v>113.260097496806</v>
      </c>
      <c r="D139" s="2" t="n">
        <v>112.178643935864</v>
      </c>
      <c r="E139" s="2" t="n">
        <v>114.238114165882</v>
      </c>
      <c r="F139" s="2" t="n">
        <v>115.01875112797</v>
      </c>
      <c r="G139" s="2" t="n">
        <v>113.072423950598</v>
      </c>
      <c r="H139" s="2" t="n">
        <v>112.189010991992</v>
      </c>
      <c r="I139" s="2" t="n">
        <v>112.806286571648</v>
      </c>
      <c r="J139" s="2" t="n">
        <v>115.043779527458</v>
      </c>
      <c r="K139" s="2" t="n">
        <v>112.310410722609</v>
      </c>
      <c r="L139" s="2" t="n">
        <v>110.635084094965</v>
      </c>
      <c r="M139" s="2" t="n">
        <v>115.400571994332</v>
      </c>
      <c r="N139" s="2" t="n">
        <v>110.652741108879</v>
      </c>
      <c r="O139" s="2" t="n">
        <v>460</v>
      </c>
      <c r="Q139" s="1" t="n">
        <v>78.650586183592</v>
      </c>
    </row>
    <row r="140" customFormat="false" ht="15" hidden="false" customHeight="false" outlineLevel="0" collapsed="false">
      <c r="A140" s="2" t="n">
        <v>2024</v>
      </c>
      <c r="B140" s="2" t="n">
        <v>3</v>
      </c>
      <c r="C140" s="2" t="n">
        <v>113.771246610086</v>
      </c>
      <c r="D140" s="2" t="n">
        <v>112.858017026639</v>
      </c>
      <c r="E140" s="2" t="n">
        <v>114.597129280929</v>
      </c>
      <c r="F140" s="2" t="n">
        <v>115.49606979659</v>
      </c>
      <c r="G140" s="2" t="n">
        <v>113.563895607505</v>
      </c>
      <c r="H140" s="2" t="n">
        <v>112.828348330882</v>
      </c>
      <c r="I140" s="2" t="n">
        <v>112.846358065001</v>
      </c>
      <c r="J140" s="2" t="n">
        <v>114.835537409203</v>
      </c>
      <c r="K140" s="2" t="n">
        <v>113.044290598811</v>
      </c>
      <c r="L140" s="2" t="n">
        <v>110.761560873535</v>
      </c>
      <c r="M140" s="2" t="n">
        <v>116.464140314061</v>
      </c>
      <c r="N140" s="2" t="n">
        <v>111.329981420889</v>
      </c>
      <c r="O140" s="2" t="n">
        <v>460</v>
      </c>
      <c r="Q140" s="1" t="n">
        <v>79.792911130647</v>
      </c>
    </row>
    <row r="141" customFormat="false" ht="15" hidden="false" customHeight="false" outlineLevel="0" collapsed="false">
      <c r="A141" s="2" t="n">
        <v>2024</v>
      </c>
      <c r="B141" s="2" t="n">
        <v>4</v>
      </c>
      <c r="C141" s="2" t="n">
        <v>113.148518059142</v>
      </c>
      <c r="D141" s="2" t="n">
        <v>112.738627256503</v>
      </c>
      <c r="E141" s="2" t="n">
        <v>113.519204376114</v>
      </c>
      <c r="F141" s="2" t="n">
        <v>114.302698065834</v>
      </c>
      <c r="G141" s="2" t="n">
        <v>112.448832096163</v>
      </c>
      <c r="H141" s="2" t="n">
        <v>111.998434086318</v>
      </c>
      <c r="I141" s="2" t="n">
        <v>111.691760152196</v>
      </c>
      <c r="J141" s="2" t="n">
        <v>114.664673063381</v>
      </c>
      <c r="K141" s="2" t="n">
        <v>113.123340624976</v>
      </c>
      <c r="L141" s="2" t="n">
        <v>110.368306801289</v>
      </c>
      <c r="M141" s="2" t="n">
        <v>115.987677615524</v>
      </c>
      <c r="N141" s="2" t="n">
        <v>110.865740090229</v>
      </c>
      <c r="O141" s="2" t="n">
        <v>460</v>
      </c>
      <c r="Q141" s="1" t="n">
        <v>81.2723496253218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9.71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21</v>
      </c>
      <c r="J1" s="2" t="s">
        <v>10</v>
      </c>
      <c r="K1" s="2" t="s">
        <v>11</v>
      </c>
      <c r="L1" s="2" t="s">
        <v>12</v>
      </c>
      <c r="M1" s="2" t="s">
        <v>13</v>
      </c>
    </row>
    <row r="2" customFormat="false" ht="15" hidden="false" customHeight="false" outlineLevel="0" collapsed="false">
      <c r="A2" s="3" t="n">
        <v>38353</v>
      </c>
      <c r="B2" s="2" t="n">
        <v>67.1219175948688</v>
      </c>
      <c r="C2" s="2" t="n">
        <v>66.615007631241</v>
      </c>
      <c r="D2" s="2" t="n">
        <v>67.7051086191092</v>
      </c>
      <c r="E2" s="2" t="n">
        <v>70.4694419479209</v>
      </c>
      <c r="F2" s="2" t="n">
        <v>65.6038791415167</v>
      </c>
      <c r="G2" s="2" t="n">
        <v>64.9691890476785</v>
      </c>
      <c r="H2" s="2" t="n">
        <v>63.3978629593467</v>
      </c>
      <c r="J2" s="2" t="n">
        <v>67.5087142084217</v>
      </c>
      <c r="K2" s="2" t="n">
        <v>65.4876344655496</v>
      </c>
      <c r="L2" s="2" t="n">
        <v>68.3336942826289</v>
      </c>
      <c r="M2" s="2" t="n">
        <v>64.2719581035543</v>
      </c>
    </row>
    <row r="3" customFormat="false" ht="15" hidden="false" customHeight="false" outlineLevel="0" collapsed="false">
      <c r="A3" s="3" t="n">
        <v>38384</v>
      </c>
      <c r="B3" s="2" t="n">
        <v>67.3046130616965</v>
      </c>
      <c r="C3" s="2" t="n">
        <v>66.8328763380627</v>
      </c>
      <c r="D3" s="2" t="n">
        <v>67.8470338817366</v>
      </c>
      <c r="E3" s="2" t="n">
        <v>70.5990251684204</v>
      </c>
      <c r="F3" s="2" t="n">
        <v>65.6141252120099</v>
      </c>
      <c r="G3" s="2" t="n">
        <v>64.7520032591687</v>
      </c>
      <c r="H3" s="2" t="n">
        <v>63.8061756466731</v>
      </c>
      <c r="J3" s="2" t="n">
        <v>67.6108773671374</v>
      </c>
      <c r="K3" s="2" t="n">
        <v>65.9060877809251</v>
      </c>
      <c r="L3" s="2" t="n">
        <v>68.7067184467648</v>
      </c>
      <c r="M3" s="2" t="n">
        <v>64.5367117347421</v>
      </c>
    </row>
    <row r="4" customFormat="false" ht="15" hidden="false" customHeight="false" outlineLevel="0" collapsed="false">
      <c r="A4" s="3" t="n">
        <v>38412</v>
      </c>
      <c r="B4" s="2" t="n">
        <v>67.4818735473311</v>
      </c>
      <c r="C4" s="2" t="n">
        <v>66.9054992403366</v>
      </c>
      <c r="D4" s="2" t="n">
        <v>68.1444010986702</v>
      </c>
      <c r="E4" s="2" t="n">
        <v>70.7263854857552</v>
      </c>
      <c r="F4" s="2" t="n">
        <v>66.254928375079</v>
      </c>
      <c r="G4" s="2" t="n">
        <v>65.1536329444843</v>
      </c>
      <c r="H4" s="2" t="n">
        <v>64.1973664436729</v>
      </c>
      <c r="J4" s="2" t="n">
        <v>67.6663557105316</v>
      </c>
      <c r="K4" s="2" t="n">
        <v>65.723519157507</v>
      </c>
      <c r="L4" s="2" t="n">
        <v>68.8717233735356</v>
      </c>
      <c r="M4" s="2" t="n">
        <v>64.8692942407603</v>
      </c>
    </row>
    <row r="5" customFormat="false" ht="15" hidden="false" customHeight="false" outlineLevel="0" collapsed="false">
      <c r="A5" s="3" t="n">
        <v>38443</v>
      </c>
      <c r="B5" s="2" t="n">
        <v>68.0469600328975</v>
      </c>
      <c r="C5" s="2" t="n">
        <v>67.2223991775318</v>
      </c>
      <c r="D5" s="2" t="n">
        <v>69.002711020274</v>
      </c>
      <c r="E5" s="2" t="n">
        <v>71.712369607458</v>
      </c>
      <c r="F5" s="2" t="n">
        <v>67.0850660724111</v>
      </c>
      <c r="G5" s="2" t="n">
        <v>65.7707406520619</v>
      </c>
      <c r="H5" s="2" t="n">
        <v>64.8109223368281</v>
      </c>
      <c r="J5" s="2" t="n">
        <v>67.9080591725429</v>
      </c>
      <c r="K5" s="2" t="n">
        <v>66.0026709214319</v>
      </c>
      <c r="L5" s="2" t="n">
        <v>69.2752458729384</v>
      </c>
      <c r="M5" s="2" t="n">
        <v>65.4195764554556</v>
      </c>
    </row>
    <row r="6" customFormat="false" ht="15" hidden="false" customHeight="false" outlineLevel="0" collapsed="false">
      <c r="A6" s="3" t="n">
        <v>38473</v>
      </c>
      <c r="B6" s="2" t="n">
        <v>68.1661192519189</v>
      </c>
      <c r="C6" s="2" t="n">
        <v>67.3544408180298</v>
      </c>
      <c r="D6" s="2" t="n">
        <v>69.1108445537044</v>
      </c>
      <c r="E6" s="2" t="n">
        <v>71.7618442317801</v>
      </c>
      <c r="F6" s="2" t="n">
        <v>67.3845189032261</v>
      </c>
      <c r="G6" s="2" t="n">
        <v>66.113183609243</v>
      </c>
      <c r="H6" s="2" t="n">
        <v>64.8233669319739</v>
      </c>
      <c r="J6" s="2" t="n">
        <v>68.146875903076</v>
      </c>
      <c r="K6" s="2" t="n">
        <v>66.0134766237179</v>
      </c>
      <c r="L6" s="2" t="n">
        <v>69.2941556634266</v>
      </c>
      <c r="M6" s="2" t="n">
        <v>65.3958078638224</v>
      </c>
    </row>
    <row r="7" customFormat="false" ht="15" hidden="false" customHeight="false" outlineLevel="0" collapsed="false">
      <c r="A7" s="3" t="n">
        <v>38504</v>
      </c>
      <c r="B7" s="2" t="n">
        <v>68.2145671907777</v>
      </c>
      <c r="C7" s="2" t="n">
        <v>67.5789116068764</v>
      </c>
      <c r="D7" s="2" t="n">
        <v>68.9486442535588</v>
      </c>
      <c r="E7" s="2" t="n">
        <v>71.5581715740855</v>
      </c>
      <c r="F7" s="2" t="n">
        <v>67.2256023294576</v>
      </c>
      <c r="G7" s="2" t="n">
        <v>66.0094737427901</v>
      </c>
      <c r="H7" s="2" t="n">
        <v>64.7303224925169</v>
      </c>
      <c r="J7" s="2" t="n">
        <v>68.3778637207718</v>
      </c>
      <c r="K7" s="2" t="n">
        <v>66.3259182063111</v>
      </c>
      <c r="L7" s="2" t="n">
        <v>69.2337965342391</v>
      </c>
      <c r="M7" s="2" t="n">
        <v>65.6698141702325</v>
      </c>
    </row>
    <row r="8" customFormat="false" ht="15" hidden="false" customHeight="false" outlineLevel="0" collapsed="false">
      <c r="A8" s="3" t="n">
        <v>38534</v>
      </c>
      <c r="B8" s="2" t="n">
        <v>68.108353243615</v>
      </c>
      <c r="C8" s="2" t="n">
        <v>67.473278294478</v>
      </c>
      <c r="D8" s="2" t="n">
        <v>68.8405107201284</v>
      </c>
      <c r="E8" s="2" t="n">
        <v>71.4016051415796</v>
      </c>
      <c r="F8" s="2" t="n">
        <v>66.7528056683168</v>
      </c>
      <c r="G8" s="2" t="n">
        <v>65.9543542056192</v>
      </c>
      <c r="H8" s="2" t="n">
        <v>65.0835728342084</v>
      </c>
      <c r="J8" s="2" t="n">
        <v>68.2842158174826</v>
      </c>
      <c r="K8" s="2" t="n">
        <v>66.3514378269043</v>
      </c>
      <c r="L8" s="2" t="n">
        <v>68.8137575453319</v>
      </c>
      <c r="M8" s="2" t="n">
        <v>65.5534840422933</v>
      </c>
    </row>
    <row r="9" customFormat="false" ht="15" hidden="false" customHeight="false" outlineLevel="0" collapsed="false">
      <c r="A9" s="3" t="n">
        <v>38565</v>
      </c>
      <c r="B9" s="2" t="n">
        <v>68.0087117690542</v>
      </c>
      <c r="C9" s="2" t="n">
        <v>67.4402678843535</v>
      </c>
      <c r="D9" s="2" t="n">
        <v>68.664793728304</v>
      </c>
      <c r="E9" s="2" t="n">
        <v>71.2139665990398</v>
      </c>
      <c r="F9" s="2" t="n">
        <v>66.6796550425722</v>
      </c>
      <c r="G9" s="2" t="n">
        <v>65.9148018169198</v>
      </c>
      <c r="H9" s="2" t="n">
        <v>64.7985570915506</v>
      </c>
      <c r="J9" s="2" t="n">
        <v>68.2779242512123</v>
      </c>
      <c r="K9" s="2" t="n">
        <v>66.3545834508823</v>
      </c>
      <c r="L9" s="2" t="n">
        <v>69.1631384235174</v>
      </c>
      <c r="M9" s="2" t="n">
        <v>65.215596736082</v>
      </c>
    </row>
    <row r="10" customFormat="false" ht="15" hidden="false" customHeight="false" outlineLevel="0" collapsed="false">
      <c r="A10" s="3" t="n">
        <v>38596</v>
      </c>
      <c r="B10" s="2" t="n">
        <v>68.4960801627488</v>
      </c>
      <c r="C10" s="2" t="n">
        <v>68.2853343835407</v>
      </c>
      <c r="D10" s="2" t="n">
        <v>68.7188604950192</v>
      </c>
      <c r="E10" s="2" t="n">
        <v>71.1219446873</v>
      </c>
      <c r="F10" s="2" t="n">
        <v>66.9320239716436</v>
      </c>
      <c r="G10" s="2" t="n">
        <v>66.1563260623314</v>
      </c>
      <c r="H10" s="2" t="n">
        <v>65.0004946511399</v>
      </c>
      <c r="J10" s="2" t="n">
        <v>69.2963597271065</v>
      </c>
      <c r="K10" s="2" t="n">
        <v>67.2155597540499</v>
      </c>
      <c r="L10" s="2" t="n">
        <v>69.4306628986431</v>
      </c>
      <c r="M10" s="2" t="n">
        <v>65.8353641241953</v>
      </c>
    </row>
    <row r="11" customFormat="false" ht="15" hidden="false" customHeight="false" outlineLevel="0" collapsed="false">
      <c r="A11" s="3" t="n">
        <v>38626</v>
      </c>
      <c r="B11" s="2" t="n">
        <v>68.7357768609902</v>
      </c>
      <c r="C11" s="2" t="n">
        <v>68.529611418462</v>
      </c>
      <c r="D11" s="2" t="n">
        <v>68.9554025993982</v>
      </c>
      <c r="E11" s="2" t="n">
        <v>71.3488032701603</v>
      </c>
      <c r="F11" s="2" t="n">
        <v>67.0245143567984</v>
      </c>
      <c r="G11" s="2" t="n">
        <v>66.2026959680419</v>
      </c>
      <c r="H11" s="2" t="n">
        <v>65.458395370319</v>
      </c>
      <c r="J11" s="2" t="n">
        <v>69.5211376574018</v>
      </c>
      <c r="K11" s="2" t="n">
        <v>67.4212752248315</v>
      </c>
      <c r="L11" s="2" t="n">
        <v>69.5525988196299</v>
      </c>
      <c r="M11" s="2" t="n">
        <v>66.2154415004504</v>
      </c>
    </row>
    <row r="12" customFormat="false" ht="15" hidden="false" customHeight="false" outlineLevel="0" collapsed="false">
      <c r="A12" s="3" t="n">
        <v>38657</v>
      </c>
      <c r="B12" s="2" t="n">
        <v>68.8513631054846</v>
      </c>
      <c r="C12" s="2" t="n">
        <v>68.5890301566861</v>
      </c>
      <c r="D12" s="2" t="n">
        <v>69.137877937062</v>
      </c>
      <c r="E12" s="2" t="n">
        <v>71.3657528302335</v>
      </c>
      <c r="F12" s="2" t="n">
        <v>67.9081525095071</v>
      </c>
      <c r="G12" s="2" t="n">
        <v>66.2391257598372</v>
      </c>
      <c r="H12" s="2" t="n">
        <v>65.4323404118043</v>
      </c>
      <c r="J12" s="2" t="n">
        <v>69.420439807655</v>
      </c>
      <c r="K12" s="2" t="n">
        <v>67.8301612414937</v>
      </c>
      <c r="L12" s="2" t="n">
        <v>69.8676213733075</v>
      </c>
      <c r="M12" s="2" t="n">
        <v>66.2672290783544</v>
      </c>
    </row>
    <row r="13" customFormat="false" ht="15" hidden="false" customHeight="false" outlineLevel="0" collapsed="false">
      <c r="A13" s="3" t="n">
        <v>38687</v>
      </c>
      <c r="B13" s="2" t="n">
        <v>69.0566648947345</v>
      </c>
      <c r="C13" s="2" t="n">
        <v>68.7672863713584</v>
      </c>
      <c r="D13" s="2" t="n">
        <v>69.374420041441</v>
      </c>
      <c r="E13" s="2" t="n">
        <v>71.5819919033721</v>
      </c>
      <c r="F13" s="2" t="n">
        <v>68.2960055858747</v>
      </c>
      <c r="G13" s="2" t="n">
        <v>66.331353834082</v>
      </c>
      <c r="H13" s="2" t="n">
        <v>65.6137808607429</v>
      </c>
      <c r="J13" s="2" t="n">
        <v>69.52085414231</v>
      </c>
      <c r="K13" s="2" t="n">
        <v>68.0312865439204</v>
      </c>
      <c r="L13" s="2" t="n">
        <v>70.0040847091931</v>
      </c>
      <c r="M13" s="2" t="n">
        <v>66.6714359336439</v>
      </c>
    </row>
    <row r="14" customFormat="false" ht="15" hidden="false" customHeight="false" outlineLevel="0" collapsed="false">
      <c r="A14" s="3" t="n">
        <v>38718</v>
      </c>
      <c r="B14" s="2" t="n">
        <v>69.3868350801482</v>
      </c>
      <c r="C14" s="2" t="n">
        <v>68.9587467500805</v>
      </c>
      <c r="D14" s="2" t="n">
        <v>69.8677792877172</v>
      </c>
      <c r="E14" s="2" t="n">
        <v>71.9956845956884</v>
      </c>
      <c r="F14" s="2" t="n">
        <v>68.7930694265605</v>
      </c>
      <c r="G14" s="2" t="n">
        <v>66.66143120449</v>
      </c>
      <c r="H14" s="2" t="n">
        <v>66.3498591461515</v>
      </c>
      <c r="J14" s="2" t="n">
        <v>69.5942437196323</v>
      </c>
      <c r="K14" s="2" t="n">
        <v>68.3316854711886</v>
      </c>
      <c r="L14" s="2" t="n">
        <v>70.4090524417767</v>
      </c>
      <c r="M14" s="2" t="n">
        <v>67.0040782082251</v>
      </c>
    </row>
    <row r="15" customFormat="false" ht="15" hidden="false" customHeight="false" outlineLevel="0" collapsed="false">
      <c r="A15" s="3" t="n">
        <v>38749</v>
      </c>
      <c r="B15" s="2" t="n">
        <v>69.8779604040462</v>
      </c>
      <c r="C15" s="2" t="n">
        <v>69.5067195581472</v>
      </c>
      <c r="D15" s="2" t="n">
        <v>70.2935550755994</v>
      </c>
      <c r="E15" s="2" t="n">
        <v>72.282349800319</v>
      </c>
      <c r="F15" s="2" t="n">
        <v>69.5028064194645</v>
      </c>
      <c r="G15" s="2" t="n">
        <v>67.0811903081044</v>
      </c>
      <c r="H15" s="2" t="n">
        <v>66.8510189898301</v>
      </c>
      <c r="J15" s="2" t="n">
        <v>70.351512118809</v>
      </c>
      <c r="K15" s="2" t="n">
        <v>68.5514532060704</v>
      </c>
      <c r="L15" s="2" t="n">
        <v>70.6796236754805</v>
      </c>
      <c r="M15" s="2" t="n">
        <v>67.402907180848</v>
      </c>
    </row>
    <row r="16" customFormat="false" ht="15" hidden="false" customHeight="false" outlineLevel="0" collapsed="false">
      <c r="A16" s="3" t="n">
        <v>38777</v>
      </c>
      <c r="B16" s="2" t="n">
        <v>70.3332891531239</v>
      </c>
      <c r="C16" s="2" t="n">
        <v>69.8893730516452</v>
      </c>
      <c r="D16" s="2" t="n">
        <v>70.8376691103827</v>
      </c>
      <c r="E16" s="2" t="n">
        <v>72.9116451397222</v>
      </c>
      <c r="F16" s="2" t="n">
        <v>69.9019278823096</v>
      </c>
      <c r="G16" s="2" t="n">
        <v>67.773885735232</v>
      </c>
      <c r="H16" s="2" t="n">
        <v>67.2788377585995</v>
      </c>
      <c r="J16" s="2" t="n">
        <v>70.7379743850711</v>
      </c>
      <c r="K16" s="2" t="n">
        <v>69.2389913198662</v>
      </c>
      <c r="L16" s="2" t="n">
        <v>71.0909394713265</v>
      </c>
      <c r="M16" s="2" t="n">
        <v>67.4466343264092</v>
      </c>
    </row>
    <row r="17" customFormat="false" ht="15" hidden="false" customHeight="false" outlineLevel="0" collapsed="false">
      <c r="A17" s="3" t="n">
        <v>38808</v>
      </c>
      <c r="B17" s="2" t="n">
        <v>70.3814500276531</v>
      </c>
      <c r="C17" s="2" t="n">
        <v>69.6805666000481</v>
      </c>
      <c r="D17" s="2" t="n">
        <v>71.1920342550228</v>
      </c>
      <c r="E17" s="2" t="n">
        <v>73.3662653305126</v>
      </c>
      <c r="F17" s="2" t="n">
        <v>70.2346339440071</v>
      </c>
      <c r="G17" s="2" t="n">
        <v>68.1545646474955</v>
      </c>
      <c r="H17" s="2" t="n">
        <v>67.3904564655717</v>
      </c>
      <c r="J17" s="2" t="n">
        <v>70.6014346436557</v>
      </c>
      <c r="K17" s="2" t="n">
        <v>68.6365376440788</v>
      </c>
      <c r="L17" s="2" t="n">
        <v>71.1867101147508</v>
      </c>
      <c r="M17" s="2" t="n">
        <v>67.2742863100048</v>
      </c>
    </row>
    <row r="18" customFormat="false" ht="15" hidden="false" customHeight="false" outlineLevel="0" collapsed="false">
      <c r="A18" s="3" t="n">
        <v>38838</v>
      </c>
      <c r="B18" s="2" t="n">
        <v>70.2843151519633</v>
      </c>
      <c r="C18" s="2" t="n">
        <v>69.5809663653137</v>
      </c>
      <c r="D18" s="2" t="n">
        <v>71.0978712882065</v>
      </c>
      <c r="E18" s="2" t="n">
        <v>73.180907588702</v>
      </c>
      <c r="F18" s="2" t="n">
        <v>70.5296048042221</v>
      </c>
      <c r="G18" s="2" t="n">
        <v>67.6564231114979</v>
      </c>
      <c r="H18" s="2" t="n">
        <v>67.2676574192501</v>
      </c>
      <c r="J18" s="2" t="n">
        <v>70.4887599228667</v>
      </c>
      <c r="K18" s="2" t="n">
        <v>68.5300111417831</v>
      </c>
      <c r="L18" s="2" t="n">
        <v>71.1481178442902</v>
      </c>
      <c r="M18" s="2" t="n">
        <v>67.1902080912455</v>
      </c>
    </row>
    <row r="19" customFormat="false" ht="15" hidden="false" customHeight="false" outlineLevel="0" collapsed="false">
      <c r="A19" s="3" t="n">
        <v>38869</v>
      </c>
      <c r="B19" s="2" t="n">
        <v>70.1226923726597</v>
      </c>
      <c r="C19" s="2" t="n">
        <v>69.6240688841826</v>
      </c>
      <c r="D19" s="2" t="n">
        <v>70.6923393966149</v>
      </c>
      <c r="E19" s="2" t="n">
        <v>72.8410790951509</v>
      </c>
      <c r="F19" s="2" t="n">
        <v>69.5161442563742</v>
      </c>
      <c r="G19" s="2" t="n">
        <v>67.7907958871761</v>
      </c>
      <c r="H19" s="2" t="n">
        <v>67.1284135999889</v>
      </c>
      <c r="J19" s="2" t="n">
        <v>70.6053509681297</v>
      </c>
      <c r="K19" s="2" t="n">
        <v>68.6265697968539</v>
      </c>
      <c r="L19" s="2" t="n">
        <v>71.0217684394115</v>
      </c>
      <c r="M19" s="2" t="n">
        <v>67.0501509500494</v>
      </c>
    </row>
    <row r="20" customFormat="false" ht="15" hidden="false" customHeight="false" outlineLevel="0" collapsed="false">
      <c r="A20" s="3" t="n">
        <v>38899</v>
      </c>
      <c r="B20" s="2" t="n">
        <v>70.1435464027759</v>
      </c>
      <c r="C20" s="2" t="n">
        <v>69.6421094015052</v>
      </c>
      <c r="D20" s="2" t="n">
        <v>70.7165389143041</v>
      </c>
      <c r="E20" s="2" t="n">
        <v>72.9728726938114</v>
      </c>
      <c r="F20" s="2" t="n">
        <v>69.2433493150495</v>
      </c>
      <c r="G20" s="2" t="n">
        <v>67.4741092005815</v>
      </c>
      <c r="H20" s="2" t="n">
        <v>67.257497998965</v>
      </c>
      <c r="J20" s="2" t="n">
        <v>70.5123120484384</v>
      </c>
      <c r="K20" s="2" t="n">
        <v>68.9874852233237</v>
      </c>
      <c r="L20" s="2" t="n">
        <v>70.9774417137994</v>
      </c>
      <c r="M20" s="2" t="n">
        <v>67.0784973248391</v>
      </c>
    </row>
    <row r="21" customFormat="false" ht="15" hidden="false" customHeight="false" outlineLevel="0" collapsed="false">
      <c r="A21" s="3" t="n">
        <v>38930</v>
      </c>
      <c r="B21" s="2" t="n">
        <v>70.2940986792306</v>
      </c>
      <c r="C21" s="2" t="n">
        <v>69.8022832303125</v>
      </c>
      <c r="D21" s="2" t="n">
        <v>70.8555727356173</v>
      </c>
      <c r="E21" s="2" t="n">
        <v>72.9857974922709</v>
      </c>
      <c r="F21" s="2" t="n">
        <v>69.5354294211298</v>
      </c>
      <c r="G21" s="2" t="n">
        <v>67.1246729841317</v>
      </c>
      <c r="H21" s="2" t="n">
        <v>67.707316332876</v>
      </c>
      <c r="J21" s="2" t="n">
        <v>70.5409533405276</v>
      </c>
      <c r="K21" s="2" t="n">
        <v>69.3446130683687</v>
      </c>
      <c r="L21" s="2" t="n">
        <v>71.1448040969255</v>
      </c>
      <c r="M21" s="2" t="n">
        <v>67.4182594141336</v>
      </c>
    </row>
    <row r="22" customFormat="false" ht="15" hidden="false" customHeight="false" outlineLevel="0" collapsed="false">
      <c r="A22" s="3" t="n">
        <v>38961</v>
      </c>
      <c r="B22" s="2" t="n">
        <v>70.696812923342</v>
      </c>
      <c r="C22" s="2" t="n">
        <v>70.5671565782543</v>
      </c>
      <c r="D22" s="2" t="n">
        <v>70.8265706173937</v>
      </c>
      <c r="E22" s="2" t="n">
        <v>72.8308752365175</v>
      </c>
      <c r="F22" s="2" t="n">
        <v>69.3934950944037</v>
      </c>
      <c r="G22" s="2" t="n">
        <v>67.3430291531541</v>
      </c>
      <c r="H22" s="2" t="n">
        <v>68.0399714333291</v>
      </c>
      <c r="J22" s="2" t="n">
        <v>71.1664036963793</v>
      </c>
      <c r="K22" s="2" t="n">
        <v>70.7507391449716</v>
      </c>
      <c r="L22" s="2" t="n">
        <v>71.2261332898046</v>
      </c>
      <c r="M22" s="2" t="n">
        <v>68.2742842817168</v>
      </c>
    </row>
    <row r="23" customFormat="false" ht="15" hidden="false" customHeight="false" outlineLevel="0" collapsed="false">
      <c r="A23" s="3" t="n">
        <v>38991</v>
      </c>
      <c r="B23" s="2" t="n">
        <v>70.943381885484</v>
      </c>
      <c r="C23" s="2" t="n">
        <v>70.7652729343717</v>
      </c>
      <c r="D23" s="2" t="n">
        <v>71.1307929403841</v>
      </c>
      <c r="E23" s="2" t="n">
        <v>73.2752065603961</v>
      </c>
      <c r="F23" s="2" t="n">
        <v>69.7249773091203</v>
      </c>
      <c r="G23" s="2" t="n">
        <v>67.8791442858051</v>
      </c>
      <c r="H23" s="2" t="n">
        <v>67.8955751340896</v>
      </c>
      <c r="J23" s="2" t="n">
        <v>71.3911359405885</v>
      </c>
      <c r="K23" s="2" t="n">
        <v>70.8783270966898</v>
      </c>
      <c r="L23" s="2" t="n">
        <v>71.4033136970126</v>
      </c>
      <c r="M23" s="2" t="n">
        <v>68.4752456123122</v>
      </c>
    </row>
    <row r="24" customFormat="false" ht="15" hidden="false" customHeight="false" outlineLevel="0" collapsed="false">
      <c r="A24" s="3" t="n">
        <v>39022</v>
      </c>
      <c r="B24" s="2" t="n">
        <v>71.0607820253481</v>
      </c>
      <c r="C24" s="2" t="n">
        <v>70.8233620378819</v>
      </c>
      <c r="D24" s="2" t="n">
        <v>71.3188313646783</v>
      </c>
      <c r="E24" s="2" t="n">
        <v>73.5356923459475</v>
      </c>
      <c r="F24" s="2" t="n">
        <v>70.0271474928085</v>
      </c>
      <c r="G24" s="2" t="n">
        <v>67.8616944498299</v>
      </c>
      <c r="H24" s="2" t="n">
        <v>67.8458270104109</v>
      </c>
      <c r="J24" s="2" t="n">
        <v>71.4577942816796</v>
      </c>
      <c r="K24" s="2" t="n">
        <v>70.9791509718512</v>
      </c>
      <c r="L24" s="2" t="n">
        <v>71.5334323682195</v>
      </c>
      <c r="M24" s="2" t="n">
        <v>68.4324597639995</v>
      </c>
    </row>
    <row r="25" customFormat="false" ht="15" hidden="false" customHeight="false" outlineLevel="0" collapsed="false">
      <c r="A25" s="3" t="n">
        <v>39052</v>
      </c>
      <c r="B25" s="2" t="n">
        <v>71.0381731516453</v>
      </c>
      <c r="C25" s="2" t="n">
        <v>70.8654639975801</v>
      </c>
      <c r="D25" s="2" t="n">
        <v>71.2191162263791</v>
      </c>
      <c r="E25" s="2" t="n">
        <v>73.2257112389508</v>
      </c>
      <c r="F25" s="2" t="n">
        <v>70.0184149161723</v>
      </c>
      <c r="G25" s="2" t="n">
        <v>68.1100502537344</v>
      </c>
      <c r="H25" s="2" t="n">
        <v>68.099518234734</v>
      </c>
      <c r="J25" s="2" t="n">
        <v>71.6101385844074</v>
      </c>
      <c r="K25" s="2" t="n">
        <v>70.9228253983473</v>
      </c>
      <c r="L25" s="2" t="n">
        <v>71.5564624015906</v>
      </c>
      <c r="M25" s="2" t="n">
        <v>68.2643652269404</v>
      </c>
    </row>
    <row r="26" customFormat="false" ht="15" hidden="false" customHeight="false" outlineLevel="0" collapsed="false">
      <c r="A26" s="3" t="n">
        <v>39083</v>
      </c>
      <c r="B26" s="2" t="n">
        <v>71.2490749480785</v>
      </c>
      <c r="C26" s="2" t="n">
        <v>70.9653894392026</v>
      </c>
      <c r="D26" s="2" t="n">
        <v>71.5621917595725</v>
      </c>
      <c r="E26" s="2" t="n">
        <v>73.6560197580695</v>
      </c>
      <c r="F26" s="2" t="n">
        <v>70.1269624533679</v>
      </c>
      <c r="G26" s="2" t="n">
        <v>68.4766337810467</v>
      </c>
      <c r="H26" s="2" t="n">
        <v>68.4383794273441</v>
      </c>
      <c r="J26" s="2" t="n">
        <v>71.6791039588941</v>
      </c>
      <c r="K26" s="2" t="n">
        <v>70.9492798015502</v>
      </c>
      <c r="L26" s="2" t="n">
        <v>71.7023825942869</v>
      </c>
      <c r="M26" s="2" t="n">
        <v>68.5035453266993</v>
      </c>
    </row>
    <row r="27" customFormat="false" ht="15" hidden="false" customHeight="false" outlineLevel="0" collapsed="false">
      <c r="A27" s="3" t="n">
        <v>39114</v>
      </c>
      <c r="B27" s="2" t="n">
        <v>71.2972162241018</v>
      </c>
      <c r="C27" s="2" t="n">
        <v>70.9362887994102</v>
      </c>
      <c r="D27" s="2" t="n">
        <v>71.7023633192793</v>
      </c>
      <c r="E27" s="2" t="n">
        <v>73.8381859731426</v>
      </c>
      <c r="F27" s="2" t="n">
        <v>70.3883687718138</v>
      </c>
      <c r="G27" s="2" t="n">
        <v>68.6895929904488</v>
      </c>
      <c r="H27" s="2" t="n">
        <v>68.33456654386</v>
      </c>
      <c r="J27" s="2" t="n">
        <v>71.4975276000711</v>
      </c>
      <c r="K27" s="2" t="n">
        <v>70.923349690207</v>
      </c>
      <c r="L27" s="2" t="n">
        <v>71.9034900810421</v>
      </c>
      <c r="M27" s="2" t="n">
        <v>68.7995295299159</v>
      </c>
    </row>
    <row r="28" customFormat="false" ht="15" hidden="false" customHeight="false" outlineLevel="0" collapsed="false">
      <c r="A28" s="3" t="n">
        <v>39142</v>
      </c>
      <c r="B28" s="2" t="n">
        <v>71.3655511584021</v>
      </c>
      <c r="C28" s="2" t="n">
        <v>70.8981907242021</v>
      </c>
      <c r="D28" s="2" t="n">
        <v>71.8975077179275</v>
      </c>
      <c r="E28" s="2" t="n">
        <v>73.8405138140386</v>
      </c>
      <c r="F28" s="2" t="n">
        <v>71.2014785445496</v>
      </c>
      <c r="G28" s="2" t="n">
        <v>68.7307057213434</v>
      </c>
      <c r="H28" s="2" t="n">
        <v>68.4715992205307</v>
      </c>
      <c r="J28" s="2" t="n">
        <v>71.5281604133076</v>
      </c>
      <c r="K28" s="2" t="n">
        <v>70.934488771486</v>
      </c>
      <c r="L28" s="2" t="n">
        <v>72.0243842112133</v>
      </c>
      <c r="M28" s="2" t="n">
        <v>68.4405208622361</v>
      </c>
    </row>
    <row r="29" customFormat="false" ht="15" hidden="false" customHeight="false" outlineLevel="0" collapsed="false">
      <c r="A29" s="3" t="n">
        <v>39173</v>
      </c>
      <c r="B29" s="2" t="n">
        <v>71.3587840774461</v>
      </c>
      <c r="C29" s="2" t="n">
        <v>70.8718858606244</v>
      </c>
      <c r="D29" s="2" t="n">
        <v>71.914025662193</v>
      </c>
      <c r="E29" s="2" t="n">
        <v>73.8813645322583</v>
      </c>
      <c r="F29" s="2" t="n">
        <v>70.7933329755606</v>
      </c>
      <c r="G29" s="2" t="n">
        <v>68.6541050702286</v>
      </c>
      <c r="H29" s="2" t="n">
        <v>68.8596793628965</v>
      </c>
      <c r="J29" s="2" t="n">
        <v>71.4896931391276</v>
      </c>
      <c r="K29" s="2" t="n">
        <v>71.1050838325319</v>
      </c>
      <c r="L29" s="2" t="n">
        <v>71.8526421609335</v>
      </c>
      <c r="M29" s="2" t="n">
        <v>68.3240719169598</v>
      </c>
    </row>
    <row r="30" customFormat="false" ht="15" hidden="false" customHeight="false" outlineLevel="0" collapsed="false">
      <c r="A30" s="3" t="n">
        <v>39203</v>
      </c>
      <c r="B30" s="2" t="n">
        <v>71.3802843050852</v>
      </c>
      <c r="C30" s="2" t="n">
        <v>70.8316302413244</v>
      </c>
      <c r="D30" s="2" t="n">
        <v>72.0091111637347</v>
      </c>
      <c r="E30" s="2" t="n">
        <v>73.9769437799459</v>
      </c>
      <c r="F30" s="2" t="n">
        <v>71.2966513404859</v>
      </c>
      <c r="G30" s="2" t="n">
        <v>68.9478524490364</v>
      </c>
      <c r="H30" s="2" t="n">
        <v>68.5062442988631</v>
      </c>
      <c r="J30" s="2" t="n">
        <v>71.4790437423993</v>
      </c>
      <c r="K30" s="2" t="n">
        <v>70.9485282265681</v>
      </c>
      <c r="L30" s="2" t="n">
        <v>71.9528044956241</v>
      </c>
      <c r="M30" s="2" t="n">
        <v>68.2469883400691</v>
      </c>
    </row>
    <row r="31" customFormat="false" ht="15" hidden="false" customHeight="false" outlineLevel="0" collapsed="false">
      <c r="A31" s="3" t="n">
        <v>39234</v>
      </c>
      <c r="B31" s="2" t="n">
        <v>71.6568879718613</v>
      </c>
      <c r="C31" s="2" t="n">
        <v>71.1752525880945</v>
      </c>
      <c r="D31" s="2" t="n">
        <v>72.2057536148414</v>
      </c>
      <c r="E31" s="2" t="n">
        <v>74.0614003088586</v>
      </c>
      <c r="F31" s="2" t="n">
        <v>71.484356416924</v>
      </c>
      <c r="G31" s="2" t="n">
        <v>69.166706670279</v>
      </c>
      <c r="H31" s="2" t="n">
        <v>68.9919930679731</v>
      </c>
      <c r="J31" s="2" t="n">
        <v>71.7481418351452</v>
      </c>
      <c r="K31" s="2" t="n">
        <v>71.3649734246329</v>
      </c>
      <c r="L31" s="2" t="n">
        <v>72.2376254862075</v>
      </c>
      <c r="M31" s="2" t="n">
        <v>68.7600586738342</v>
      </c>
    </row>
    <row r="32" customFormat="false" ht="15" hidden="false" customHeight="false" outlineLevel="0" collapsed="false">
      <c r="A32" s="3" t="n">
        <v>39264</v>
      </c>
      <c r="B32" s="2" t="n">
        <v>71.9564407281749</v>
      </c>
      <c r="C32" s="2" t="n">
        <v>71.5858254664378</v>
      </c>
      <c r="D32" s="2" t="n">
        <v>72.3729017725606</v>
      </c>
      <c r="E32" s="2" t="n">
        <v>74.1478928444825</v>
      </c>
      <c r="F32" s="2" t="n">
        <v>71.4907436844221</v>
      </c>
      <c r="G32" s="2" t="n">
        <v>69.2769693091095</v>
      </c>
      <c r="H32" s="2" t="n">
        <v>69.5354515146706</v>
      </c>
      <c r="J32" s="2" t="n">
        <v>72.1277429668148</v>
      </c>
      <c r="K32" s="2" t="n">
        <v>71.7462155225415</v>
      </c>
      <c r="L32" s="2" t="n">
        <v>72.5421898557099</v>
      </c>
      <c r="M32" s="2" t="n">
        <v>69.3381097772846</v>
      </c>
    </row>
    <row r="33" customFormat="false" ht="15" hidden="false" customHeight="false" outlineLevel="0" collapsed="false">
      <c r="A33" s="3" t="n">
        <v>39295</v>
      </c>
      <c r="B33" s="2" t="n">
        <v>72.0089315767888</v>
      </c>
      <c r="C33" s="2" t="n">
        <v>71.8647584594337</v>
      </c>
      <c r="D33" s="2" t="n">
        <v>72.1555291613422</v>
      </c>
      <c r="E33" s="2" t="n">
        <v>73.9064762435566</v>
      </c>
      <c r="F33" s="2" t="n">
        <v>71.5997397054021</v>
      </c>
      <c r="G33" s="2" t="n">
        <v>69.2333613960371</v>
      </c>
      <c r="H33" s="2" t="n">
        <v>69.0178429891275</v>
      </c>
      <c r="J33" s="2" t="n">
        <v>72.4834857214908</v>
      </c>
      <c r="K33" s="2" t="n">
        <v>71.9757153797276</v>
      </c>
      <c r="L33" s="2" t="n">
        <v>72.7870676543721</v>
      </c>
      <c r="M33" s="2" t="n">
        <v>69.4612849606169</v>
      </c>
    </row>
    <row r="34" customFormat="false" ht="15" hidden="false" customHeight="false" outlineLevel="0" collapsed="false">
      <c r="A34" s="3" t="n">
        <v>39326</v>
      </c>
      <c r="B34" s="2" t="n">
        <v>72.5203019610163</v>
      </c>
      <c r="C34" s="2" t="n">
        <v>72.499988105551</v>
      </c>
      <c r="D34" s="2" t="n">
        <v>72.5191207298747</v>
      </c>
      <c r="E34" s="2" t="n">
        <v>74.4054755371171</v>
      </c>
      <c r="F34" s="2" t="n">
        <v>71.9156638650051</v>
      </c>
      <c r="G34" s="2" t="n">
        <v>69.464293766436</v>
      </c>
      <c r="H34" s="2" t="n">
        <v>69.11793867825</v>
      </c>
      <c r="J34" s="2" t="n">
        <v>73.0483598434902</v>
      </c>
      <c r="K34" s="2" t="n">
        <v>72.8829406211677</v>
      </c>
      <c r="L34" s="2" t="n">
        <v>73.4979774738892</v>
      </c>
      <c r="M34" s="2" t="n">
        <v>69.9937302924819</v>
      </c>
    </row>
    <row r="35" customFormat="false" ht="15" hidden="false" customHeight="false" outlineLevel="0" collapsed="false">
      <c r="A35" s="3" t="n">
        <v>39356</v>
      </c>
      <c r="B35" s="2" t="n">
        <v>72.6179985674464</v>
      </c>
      <c r="C35" s="2" t="n">
        <v>72.5461397955476</v>
      </c>
      <c r="D35" s="2" t="n">
        <v>72.6782078401409</v>
      </c>
      <c r="E35" s="2" t="n">
        <v>74.57330173947</v>
      </c>
      <c r="F35" s="2" t="n">
        <v>72.1138026668324</v>
      </c>
      <c r="G35" s="2" t="n">
        <v>69.6447846617537</v>
      </c>
      <c r="H35" s="2" t="n">
        <v>69.2112256321575</v>
      </c>
      <c r="J35" s="2" t="n">
        <v>73.0622723597442</v>
      </c>
      <c r="K35" s="2" t="n">
        <v>72.8159131495412</v>
      </c>
      <c r="L35" s="2" t="n">
        <v>73.8206836273423</v>
      </c>
      <c r="M35" s="2" t="n">
        <v>70.1127261280781</v>
      </c>
    </row>
    <row r="36" customFormat="false" ht="15" hidden="false" customHeight="false" outlineLevel="0" collapsed="false">
      <c r="A36" s="3" t="n">
        <v>39387</v>
      </c>
      <c r="B36" s="2" t="n">
        <v>72.9792559286484</v>
      </c>
      <c r="C36" s="2" t="n">
        <v>72.8464414207757</v>
      </c>
      <c r="D36" s="2" t="n">
        <v>73.1119780583396</v>
      </c>
      <c r="E36" s="2" t="n">
        <v>74.7935330977734</v>
      </c>
      <c r="F36" s="2" t="n">
        <v>72.6882895985672</v>
      </c>
      <c r="G36" s="2" t="n">
        <v>70.1266796642718</v>
      </c>
      <c r="H36" s="2" t="n">
        <v>70.0421560111915</v>
      </c>
      <c r="J36" s="2" t="n">
        <v>73.3339683228994</v>
      </c>
      <c r="K36" s="2" t="n">
        <v>73.0615492171878</v>
      </c>
      <c r="L36" s="2" t="n">
        <v>74.2279761231393</v>
      </c>
      <c r="M36" s="2" t="n">
        <v>70.4978687114998</v>
      </c>
    </row>
    <row r="37" customFormat="false" ht="15" hidden="false" customHeight="false" outlineLevel="0" collapsed="false">
      <c r="A37" s="3" t="n">
        <v>39417</v>
      </c>
      <c r="B37" s="2" t="n">
        <v>73.3964319506629</v>
      </c>
      <c r="C37" s="2" t="n">
        <v>73.2863027866507</v>
      </c>
      <c r="D37" s="2" t="n">
        <v>73.5019745095794</v>
      </c>
      <c r="E37" s="2" t="n">
        <v>75.2340268687211</v>
      </c>
      <c r="F37" s="2" t="n">
        <v>72.8933360557243</v>
      </c>
      <c r="G37" s="2" t="n">
        <v>70.7648894492018</v>
      </c>
      <c r="H37" s="2" t="n">
        <v>70.4118502066976</v>
      </c>
      <c r="J37" s="2" t="n">
        <v>73.9373341921843</v>
      </c>
      <c r="K37" s="2" t="n">
        <v>73.6839861840095</v>
      </c>
      <c r="L37" s="2" t="n">
        <v>74.5699814534422</v>
      </c>
      <c r="M37" s="2" t="n">
        <v>70.3348388447914</v>
      </c>
    </row>
    <row r="38" customFormat="false" ht="15" hidden="false" customHeight="false" outlineLevel="0" collapsed="false">
      <c r="A38" s="3" t="n">
        <v>39448</v>
      </c>
      <c r="B38" s="2" t="n">
        <v>74.234712163968</v>
      </c>
      <c r="C38" s="2" t="n">
        <v>74.0647862122463</v>
      </c>
      <c r="D38" s="2" t="n">
        <v>74.4112194905907</v>
      </c>
      <c r="E38" s="2" t="n">
        <v>76.0953360963202</v>
      </c>
      <c r="F38" s="2" t="n">
        <v>73.9949860065962</v>
      </c>
      <c r="G38" s="2" t="n">
        <v>71.3300443936166</v>
      </c>
      <c r="H38" s="2" t="n">
        <v>71.3541547199787</v>
      </c>
      <c r="J38" s="2" t="n">
        <v>74.6908252344843</v>
      </c>
      <c r="K38" s="2" t="n">
        <v>74.5076734809482</v>
      </c>
      <c r="L38" s="2" t="n">
        <v>75.1291240916651</v>
      </c>
      <c r="M38" s="2" t="n">
        <v>71.2435088627968</v>
      </c>
    </row>
    <row r="39" customFormat="false" ht="15" hidden="false" customHeight="false" outlineLevel="0" collapsed="false">
      <c r="A39" s="3" t="n">
        <v>39479</v>
      </c>
      <c r="B39" s="2" t="n">
        <v>74.9351652229096</v>
      </c>
      <c r="C39" s="2" t="n">
        <v>74.7065832950916</v>
      </c>
      <c r="D39" s="2" t="n">
        <v>75.181326094421</v>
      </c>
      <c r="E39" s="2" t="n">
        <v>76.842825966822</v>
      </c>
      <c r="F39" s="2" t="n">
        <v>74.5526177812339</v>
      </c>
      <c r="G39" s="2" t="n">
        <v>73.1927155627415</v>
      </c>
      <c r="H39" s="2" t="n">
        <v>72.0829513516016</v>
      </c>
      <c r="J39" s="2" t="n">
        <v>75.3393713002548</v>
      </c>
      <c r="K39" s="2" t="n">
        <v>75.0017673759412</v>
      </c>
      <c r="L39" s="2" t="n">
        <v>75.5025146068083</v>
      </c>
      <c r="M39" s="2" t="n">
        <v>72.1379144953093</v>
      </c>
    </row>
    <row r="40" customFormat="false" ht="15" hidden="false" customHeight="false" outlineLevel="0" collapsed="false">
      <c r="A40" s="3" t="n">
        <v>39508</v>
      </c>
      <c r="B40" s="2" t="n">
        <v>76.0439095005904</v>
      </c>
      <c r="C40" s="2" t="n">
        <v>75.7325827435927</v>
      </c>
      <c r="D40" s="2" t="n">
        <v>76.3882870236735</v>
      </c>
      <c r="E40" s="2" t="n">
        <v>77.8976838162936</v>
      </c>
      <c r="F40" s="2" t="n">
        <v>76.271793358373</v>
      </c>
      <c r="G40" s="2" t="n">
        <v>74.6645848416507</v>
      </c>
      <c r="H40" s="2" t="n">
        <v>73.1129947762039</v>
      </c>
      <c r="J40" s="2" t="n">
        <v>76.4088949731344</v>
      </c>
      <c r="K40" s="2" t="n">
        <v>76.1093483145486</v>
      </c>
      <c r="L40" s="2" t="n">
        <v>76.2531507500771</v>
      </c>
      <c r="M40" s="2" t="n">
        <v>73.0880362402128</v>
      </c>
    </row>
    <row r="41" customFormat="false" ht="15" hidden="false" customHeight="false" outlineLevel="0" collapsed="false">
      <c r="A41" s="3" t="n">
        <v>39539</v>
      </c>
      <c r="B41" s="2" t="n">
        <v>77.1984966198129</v>
      </c>
      <c r="C41" s="2" t="n">
        <v>76.5403244096773</v>
      </c>
      <c r="D41" s="2" t="n">
        <v>77.9557964374685</v>
      </c>
      <c r="E41" s="2" t="n">
        <v>78.9314608503952</v>
      </c>
      <c r="F41" s="2" t="n">
        <v>78.6474253037479</v>
      </c>
      <c r="G41" s="2" t="n">
        <v>76.0004262720806</v>
      </c>
      <c r="H41" s="2" t="n">
        <v>75.3323826296507</v>
      </c>
      <c r="J41" s="2" t="n">
        <v>77.0704029331662</v>
      </c>
      <c r="K41" s="2" t="n">
        <v>77.4727760930282</v>
      </c>
      <c r="L41" s="2" t="n">
        <v>76.899556375375</v>
      </c>
      <c r="M41" s="2" t="n">
        <v>73.8432404882817</v>
      </c>
    </row>
    <row r="42" customFormat="false" ht="15" hidden="false" customHeight="false" outlineLevel="0" collapsed="false">
      <c r="A42" s="3" t="n">
        <v>39569</v>
      </c>
      <c r="B42" s="2" t="n">
        <v>78.0081683348797</v>
      </c>
      <c r="C42" s="2" t="n">
        <v>77.59719863221</v>
      </c>
      <c r="D42" s="2" t="n">
        <v>78.4706000376692</v>
      </c>
      <c r="E42" s="2" t="n">
        <v>79.8219104420053</v>
      </c>
      <c r="F42" s="2" t="n">
        <v>78.4705736345141</v>
      </c>
      <c r="G42" s="2" t="n">
        <v>75.4348312772717</v>
      </c>
      <c r="H42" s="2" t="n">
        <v>75.851248308409</v>
      </c>
      <c r="J42" s="2" t="n">
        <v>77.9216186424788</v>
      </c>
      <c r="K42" s="2" t="n">
        <v>78.6382206022438</v>
      </c>
      <c r="L42" s="2" t="n">
        <v>78.2680871633539</v>
      </c>
      <c r="M42" s="2" t="n">
        <v>75.2340354206501</v>
      </c>
    </row>
    <row r="43" customFormat="false" ht="15" hidden="false" customHeight="false" outlineLevel="0" collapsed="false">
      <c r="A43" s="3" t="n">
        <v>39600</v>
      </c>
      <c r="B43" s="2" t="n">
        <v>78.5985218245063</v>
      </c>
      <c r="C43" s="2" t="n">
        <v>78.1709362953558</v>
      </c>
      <c r="D43" s="2" t="n">
        <v>79.0805474884487</v>
      </c>
      <c r="E43" s="2" t="n">
        <v>80.6718040542685</v>
      </c>
      <c r="F43" s="2" t="n">
        <v>78.7386580632287</v>
      </c>
      <c r="G43" s="2" t="n">
        <v>75.8180433153364</v>
      </c>
      <c r="H43" s="2" t="n">
        <v>76.2392065955077</v>
      </c>
      <c r="J43" s="2" t="n">
        <v>78.6492074611426</v>
      </c>
      <c r="K43" s="2" t="n">
        <v>78.6384078885534</v>
      </c>
      <c r="L43" s="2" t="n">
        <v>78.7266346767188</v>
      </c>
      <c r="M43" s="2" t="n">
        <v>75.9855153409037</v>
      </c>
    </row>
    <row r="44" customFormat="false" ht="15" hidden="false" customHeight="false" outlineLevel="0" collapsed="false">
      <c r="A44" s="3" t="n">
        <v>39630</v>
      </c>
      <c r="B44" s="2" t="n">
        <v>79.0592596252579</v>
      </c>
      <c r="C44" s="2" t="n">
        <v>78.7571897678312</v>
      </c>
      <c r="D44" s="2" t="n">
        <v>79.3915502999646</v>
      </c>
      <c r="E44" s="2" t="n">
        <v>80.7411721387626</v>
      </c>
      <c r="F44" s="2" t="n">
        <v>79.5118957280543</v>
      </c>
      <c r="G44" s="2" t="n">
        <v>76.492959405242</v>
      </c>
      <c r="H44" s="2" t="n">
        <v>76.622734577326</v>
      </c>
      <c r="J44" s="2" t="n">
        <v>79.0635030111393</v>
      </c>
      <c r="K44" s="2" t="n">
        <v>79.4838473621145</v>
      </c>
      <c r="L44" s="2" t="n">
        <v>79.6025816448703</v>
      </c>
      <c r="M44" s="2" t="n">
        <v>76.6716158517274</v>
      </c>
    </row>
    <row r="45" customFormat="false" ht="15" hidden="false" customHeight="false" outlineLevel="0" collapsed="false">
      <c r="A45" s="3" t="n">
        <v>39661</v>
      </c>
      <c r="B45" s="2" t="n">
        <v>79.2251834145096</v>
      </c>
      <c r="C45" s="2" t="n">
        <v>78.7604872172912</v>
      </c>
      <c r="D45" s="2" t="n">
        <v>79.7512134863141</v>
      </c>
      <c r="E45" s="2" t="n">
        <v>81.0839210813975</v>
      </c>
      <c r="F45" s="2" t="n">
        <v>79.947560288212</v>
      </c>
      <c r="G45" s="2" t="n">
        <v>76.9570653190282</v>
      </c>
      <c r="H45" s="2" t="n">
        <v>76.9236059510691</v>
      </c>
      <c r="J45" s="2" t="n">
        <v>78.8714967868652</v>
      </c>
      <c r="K45" s="2" t="n">
        <v>79.8459306069773</v>
      </c>
      <c r="L45" s="2" t="n">
        <v>79.4975826015364</v>
      </c>
      <c r="M45" s="2" t="n">
        <v>76.9328634106153</v>
      </c>
    </row>
    <row r="46" customFormat="false" ht="15" hidden="false" customHeight="false" outlineLevel="0" collapsed="false">
      <c r="A46" s="3" t="n">
        <v>39692</v>
      </c>
      <c r="B46" s="2" t="n">
        <v>79.7475732965297</v>
      </c>
      <c r="C46" s="2" t="n">
        <v>79.4534094327409</v>
      </c>
      <c r="D46" s="2" t="n">
        <v>80.0702016363262</v>
      </c>
      <c r="E46" s="2" t="n">
        <v>81.4138275656104</v>
      </c>
      <c r="F46" s="2" t="n">
        <v>79.9690548804519</v>
      </c>
      <c r="G46" s="2" t="n">
        <v>77.341293465543</v>
      </c>
      <c r="H46" s="2" t="n">
        <v>77.482317323731</v>
      </c>
      <c r="J46" s="2" t="n">
        <v>79.5597682343043</v>
      </c>
      <c r="K46" s="2" t="n">
        <v>80.4049284217663</v>
      </c>
      <c r="L46" s="2" t="n">
        <v>80.4904497458749</v>
      </c>
      <c r="M46" s="2" t="n">
        <v>77.628120373828</v>
      </c>
    </row>
    <row r="47" customFormat="false" ht="15" hidden="false" customHeight="false" outlineLevel="0" collapsed="false">
      <c r="A47" s="3" t="n">
        <v>39722</v>
      </c>
      <c r="B47" s="2" t="n">
        <v>79.7727822512887</v>
      </c>
      <c r="C47" s="2" t="n">
        <v>79.3894498180522</v>
      </c>
      <c r="D47" s="2" t="n">
        <v>80.2016615792136</v>
      </c>
      <c r="E47" s="2" t="n">
        <v>81.377506237917</v>
      </c>
      <c r="F47" s="2" t="n">
        <v>80.4980152735156</v>
      </c>
      <c r="G47" s="2" t="n">
        <v>77.7345479856831</v>
      </c>
      <c r="H47" s="2" t="n">
        <v>77.5880931420836</v>
      </c>
      <c r="J47" s="2" t="n">
        <v>79.782976663269</v>
      </c>
      <c r="K47" s="2" t="n">
        <v>80.1636248922142</v>
      </c>
      <c r="L47" s="2" t="n">
        <v>80.3186265556346</v>
      </c>
      <c r="M47" s="2" t="n">
        <v>76.9665230107679</v>
      </c>
    </row>
    <row r="48" customFormat="false" ht="15" hidden="false" customHeight="false" outlineLevel="0" collapsed="false">
      <c r="A48" s="3" t="n">
        <v>39753</v>
      </c>
      <c r="B48" s="2" t="n">
        <v>79.6446030148867</v>
      </c>
      <c r="C48" s="2" t="n">
        <v>79.1828187314086</v>
      </c>
      <c r="D48" s="2" t="n">
        <v>80.1670162014275</v>
      </c>
      <c r="E48" s="2" t="n">
        <v>80.9670039373232</v>
      </c>
      <c r="F48" s="2" t="n">
        <v>81.1602362097327</v>
      </c>
      <c r="G48" s="2" t="n">
        <v>77.5015853563635</v>
      </c>
      <c r="H48" s="2" t="n">
        <v>77.8996391917425</v>
      </c>
      <c r="J48" s="2" t="n">
        <v>79.5387269196616</v>
      </c>
      <c r="K48" s="2" t="n">
        <v>80.2256315544999</v>
      </c>
      <c r="L48" s="2" t="n">
        <v>80.2634538356549</v>
      </c>
      <c r="M48" s="2" t="n">
        <v>76.5315923972752</v>
      </c>
    </row>
    <row r="49" customFormat="false" ht="15" hidden="false" customHeight="false" outlineLevel="0" collapsed="false">
      <c r="A49" s="3" t="n">
        <v>39783</v>
      </c>
      <c r="B49" s="2" t="n">
        <v>79.8777342342988</v>
      </c>
      <c r="C49" s="2" t="n">
        <v>79.4035759920776</v>
      </c>
      <c r="D49" s="2" t="n">
        <v>80.4148115213442</v>
      </c>
      <c r="E49" s="2" t="n">
        <v>81.3837913421847</v>
      </c>
      <c r="F49" s="2" t="n">
        <v>81.0886442556412</v>
      </c>
      <c r="G49" s="2" t="n">
        <v>78.0974675138458</v>
      </c>
      <c r="H49" s="2" t="n">
        <v>77.925745362828</v>
      </c>
      <c r="J49" s="2" t="n">
        <v>79.756753437785</v>
      </c>
      <c r="K49" s="2" t="n">
        <v>80.1497115150762</v>
      </c>
      <c r="L49" s="2" t="n">
        <v>80.6864735961743</v>
      </c>
      <c r="M49" s="2" t="n">
        <v>76.9563461919975</v>
      </c>
    </row>
    <row r="50" customFormat="false" ht="15" hidden="false" customHeight="false" outlineLevel="0" collapsed="false">
      <c r="A50" s="3" t="n">
        <v>39814</v>
      </c>
      <c r="B50" s="2" t="n">
        <v>80.4428036176893</v>
      </c>
      <c r="C50" s="2" t="n">
        <v>79.9504180207947</v>
      </c>
      <c r="D50" s="2" t="n">
        <v>81.0014041329415</v>
      </c>
      <c r="E50" s="2" t="n">
        <v>81.7256323817257</v>
      </c>
      <c r="F50" s="2" t="n">
        <v>82.2017933853337</v>
      </c>
      <c r="G50" s="2" t="n">
        <v>78.4507203603252</v>
      </c>
      <c r="H50" s="2" t="n">
        <v>78.6967184773794</v>
      </c>
      <c r="J50" s="2" t="n">
        <v>80.3902385039913</v>
      </c>
      <c r="K50" s="2" t="n">
        <v>80.4908840631383</v>
      </c>
      <c r="L50" s="2" t="n">
        <v>81.0810290048349</v>
      </c>
      <c r="M50" s="2" t="n">
        <v>77.528864967339</v>
      </c>
    </row>
    <row r="51" customFormat="false" ht="15" hidden="false" customHeight="false" outlineLevel="0" collapsed="false">
      <c r="A51" s="3" t="n">
        <v>39845</v>
      </c>
      <c r="B51" s="2" t="n">
        <v>80.8177917305403</v>
      </c>
      <c r="C51" s="2" t="n">
        <v>80.3303087320951</v>
      </c>
      <c r="D51" s="2" t="n">
        <v>81.3704186695505</v>
      </c>
      <c r="E51" s="2" t="n">
        <v>82.2331168833075</v>
      </c>
      <c r="F51" s="2" t="n">
        <v>81.7391458997646</v>
      </c>
      <c r="G51" s="2" t="n">
        <v>79.0847746308026</v>
      </c>
      <c r="H51" s="2" t="n">
        <v>79.4371447974763</v>
      </c>
      <c r="J51" s="2" t="n">
        <v>80.6653536101809</v>
      </c>
      <c r="K51" s="2" t="n">
        <v>80.9796349525847</v>
      </c>
      <c r="L51" s="2" t="n">
        <v>81.6011704107037</v>
      </c>
      <c r="M51" s="2" t="n">
        <v>78.0350866795907</v>
      </c>
    </row>
    <row r="52" customFormat="false" ht="15" hidden="false" customHeight="false" outlineLevel="0" collapsed="false">
      <c r="A52" s="3" t="n">
        <v>39873</v>
      </c>
      <c r="B52" s="2" t="n">
        <v>81.6996617588442</v>
      </c>
      <c r="C52" s="2" t="n">
        <v>81.1889714876953</v>
      </c>
      <c r="D52" s="2" t="n">
        <v>82.2796354528911</v>
      </c>
      <c r="E52" s="2" t="n">
        <v>83.248167502266</v>
      </c>
      <c r="F52" s="2" t="n">
        <v>82.1785548734208</v>
      </c>
      <c r="G52" s="2" t="n">
        <v>79.994941417824</v>
      </c>
      <c r="H52" s="2" t="n">
        <v>80.526810020963</v>
      </c>
      <c r="J52" s="2" t="n">
        <v>81.4557830915676</v>
      </c>
      <c r="K52" s="2" t="n">
        <v>82.0859255860063</v>
      </c>
      <c r="L52" s="2" t="n">
        <v>82.302515013282</v>
      </c>
      <c r="M52" s="2" t="n">
        <v>78.9190416497736</v>
      </c>
    </row>
    <row r="53" customFormat="false" ht="15" hidden="false" customHeight="false" outlineLevel="0" collapsed="false">
      <c r="A53" s="3" t="n">
        <v>39904</v>
      </c>
      <c r="B53" s="2" t="n">
        <v>82.2347699837864</v>
      </c>
      <c r="C53" s="2" t="n">
        <v>81.6450400814045</v>
      </c>
      <c r="D53" s="2" t="n">
        <v>82.9087457684011</v>
      </c>
      <c r="E53" s="2" t="n">
        <v>83.4566477929002</v>
      </c>
      <c r="F53" s="2" t="n">
        <v>83.7071006545705</v>
      </c>
      <c r="G53" s="2" t="n">
        <v>81.0969492767145</v>
      </c>
      <c r="H53" s="2" t="n">
        <v>81.2356624152776</v>
      </c>
      <c r="J53" s="2" t="n">
        <v>81.8787401520038</v>
      </c>
      <c r="K53" s="2" t="n">
        <v>82.6833541082382</v>
      </c>
      <c r="L53" s="2" t="n">
        <v>82.5333720587413</v>
      </c>
      <c r="M53" s="2" t="n">
        <v>79.4370068379246</v>
      </c>
    </row>
    <row r="54" customFormat="false" ht="15" hidden="false" customHeight="false" outlineLevel="0" collapsed="false">
      <c r="A54" s="3" t="n">
        <v>39934</v>
      </c>
      <c r="B54" s="2" t="n">
        <v>82.2275968392106</v>
      </c>
      <c r="C54" s="2" t="n">
        <v>81.6345068008614</v>
      </c>
      <c r="D54" s="2" t="n">
        <v>82.905579319776</v>
      </c>
      <c r="E54" s="2" t="n">
        <v>83.6399587749742</v>
      </c>
      <c r="F54" s="2" t="n">
        <v>83.3725582434965</v>
      </c>
      <c r="G54" s="2" t="n">
        <v>81.0101747444731</v>
      </c>
      <c r="H54" s="2" t="n">
        <v>81.0974334892522</v>
      </c>
      <c r="J54" s="2" t="n">
        <v>81.770069042204</v>
      </c>
      <c r="K54" s="2" t="n">
        <v>82.588296169737</v>
      </c>
      <c r="L54" s="2" t="n">
        <v>82.7467693638799</v>
      </c>
      <c r="M54" s="2" t="n">
        <v>79.6850747409893</v>
      </c>
    </row>
    <row r="55" customFormat="false" ht="15" hidden="false" customHeight="false" outlineLevel="0" collapsed="false">
      <c r="A55" s="3" t="n">
        <v>39965</v>
      </c>
      <c r="B55" s="2" t="n">
        <v>82.165439138971</v>
      </c>
      <c r="C55" s="2" t="n">
        <v>81.598189183875</v>
      </c>
      <c r="D55" s="2" t="n">
        <v>82.8126504401699</v>
      </c>
      <c r="E55" s="2" t="n">
        <v>83.7314389500949</v>
      </c>
      <c r="F55" s="2" t="n">
        <v>83.2593273524774</v>
      </c>
      <c r="G55" s="2" t="n">
        <v>80.8551828961331</v>
      </c>
      <c r="H55" s="2" t="n">
        <v>80.5699552136655</v>
      </c>
      <c r="J55" s="2" t="n">
        <v>81.704276262391</v>
      </c>
      <c r="K55" s="2" t="n">
        <v>82.8373730105941</v>
      </c>
      <c r="L55" s="2" t="n">
        <v>82.5857026627248</v>
      </c>
      <c r="M55" s="2" t="n">
        <v>79.5112905027597</v>
      </c>
    </row>
    <row r="56" customFormat="false" ht="15" hidden="false" customHeight="false" outlineLevel="0" collapsed="false">
      <c r="A56" s="3" t="n">
        <v>39995</v>
      </c>
      <c r="B56" s="2" t="n">
        <v>82.1050649552487</v>
      </c>
      <c r="C56" s="2" t="n">
        <v>81.5518406650959</v>
      </c>
      <c r="D56" s="2" t="n">
        <v>82.7355833808867</v>
      </c>
      <c r="E56" s="2" t="n">
        <v>83.493600847465</v>
      </c>
      <c r="F56" s="2" t="n">
        <v>83.6895354323959</v>
      </c>
      <c r="G56" s="2" t="n">
        <v>81.157174802965</v>
      </c>
      <c r="H56" s="2" t="n">
        <v>80.3113311958421</v>
      </c>
      <c r="J56" s="2" t="n">
        <v>81.9006954080936</v>
      </c>
      <c r="K56" s="2" t="n">
        <v>82.6810977808288</v>
      </c>
      <c r="L56" s="2" t="n">
        <v>82.5593035522809</v>
      </c>
      <c r="M56" s="2" t="n">
        <v>78.8676305494343</v>
      </c>
    </row>
    <row r="57" customFormat="false" ht="15" hidden="false" customHeight="false" outlineLevel="0" collapsed="false">
      <c r="A57" s="3" t="n">
        <v>40026</v>
      </c>
      <c r="B57" s="2" t="n">
        <v>81.8606314808419</v>
      </c>
      <c r="C57" s="2" t="n">
        <v>81.4018110490869</v>
      </c>
      <c r="D57" s="2" t="n">
        <v>82.3787369122344</v>
      </c>
      <c r="E57" s="2" t="n">
        <v>82.708102952384</v>
      </c>
      <c r="F57" s="2" t="n">
        <v>83.6474806309468</v>
      </c>
      <c r="G57" s="2" t="n">
        <v>81.4715484808912</v>
      </c>
      <c r="H57" s="2" t="n">
        <v>80.5613908866185</v>
      </c>
      <c r="J57" s="2" t="n">
        <v>81.6960050851665</v>
      </c>
      <c r="K57" s="2" t="n">
        <v>82.4600254977267</v>
      </c>
      <c r="L57" s="2" t="n">
        <v>82.5311320368045</v>
      </c>
      <c r="M57" s="2" t="n">
        <v>78.8867687922452</v>
      </c>
    </row>
    <row r="58" customFormat="false" ht="15" hidden="false" customHeight="false" outlineLevel="0" collapsed="false">
      <c r="A58" s="3" t="n">
        <v>40057</v>
      </c>
      <c r="B58" s="2" t="n">
        <v>82.3726474588285</v>
      </c>
      <c r="C58" s="2" t="n">
        <v>82.297087194222</v>
      </c>
      <c r="D58" s="2" t="n">
        <v>82.4338526861557</v>
      </c>
      <c r="E58" s="2" t="n">
        <v>82.8494863555803</v>
      </c>
      <c r="F58" s="2" t="n">
        <v>83.4682444894699</v>
      </c>
      <c r="G58" s="2" t="n">
        <v>81.1908715919368</v>
      </c>
      <c r="H58" s="2" t="n">
        <v>80.7143056021803</v>
      </c>
      <c r="J58" s="2" t="n">
        <v>82.7391540773059</v>
      </c>
      <c r="K58" s="2" t="n">
        <v>83.6511264282257</v>
      </c>
      <c r="L58" s="2" t="n">
        <v>82.9579616140011</v>
      </c>
      <c r="M58" s="2" t="n">
        <v>79.2875084477207</v>
      </c>
    </row>
    <row r="59" customFormat="false" ht="15" hidden="false" customHeight="false" outlineLevel="0" collapsed="false">
      <c r="A59" s="3" t="n">
        <v>40087</v>
      </c>
      <c r="B59" s="2" t="n">
        <v>82.5678876365563</v>
      </c>
      <c r="C59" s="2" t="n">
        <v>82.4235985722437</v>
      </c>
      <c r="D59" s="2" t="n">
        <v>82.7109267954168</v>
      </c>
      <c r="E59" s="2" t="n">
        <v>83.3624517935595</v>
      </c>
      <c r="F59" s="2" t="n">
        <v>83.5310658109906</v>
      </c>
      <c r="G59" s="2" t="n">
        <v>81.264417766861</v>
      </c>
      <c r="H59" s="2" t="n">
        <v>80.6507720720334</v>
      </c>
      <c r="J59" s="2" t="n">
        <v>82.7218568073372</v>
      </c>
      <c r="K59" s="2" t="n">
        <v>83.7422298689581</v>
      </c>
      <c r="L59" s="2" t="n">
        <v>83.1491899703058</v>
      </c>
      <c r="M59" s="2" t="n">
        <v>79.8304991320933</v>
      </c>
    </row>
    <row r="60" customFormat="false" ht="15" hidden="false" customHeight="false" outlineLevel="0" collapsed="false">
      <c r="A60" s="3" t="n">
        <v>40118</v>
      </c>
      <c r="B60" s="2" t="n">
        <v>82.8451198955328</v>
      </c>
      <c r="C60" s="2" t="n">
        <v>82.4944247793863</v>
      </c>
      <c r="D60" s="2" t="n">
        <v>83.2340306022971</v>
      </c>
      <c r="E60" s="2" t="n">
        <v>83.480452024129</v>
      </c>
      <c r="F60" s="2" t="n">
        <v>84.1796753125843</v>
      </c>
      <c r="G60" s="2" t="n">
        <v>81.5939506758102</v>
      </c>
      <c r="H60" s="2" t="n">
        <v>82.1422608541225</v>
      </c>
      <c r="J60" s="2" t="n">
        <v>82.6793428152566</v>
      </c>
      <c r="K60" s="2" t="n">
        <v>83.9273328436821</v>
      </c>
      <c r="L60" s="2" t="n">
        <v>83.5191598855951</v>
      </c>
      <c r="M60" s="2" t="n">
        <v>79.9719404622416</v>
      </c>
    </row>
    <row r="61" customFormat="false" ht="15" hidden="false" customHeight="false" outlineLevel="0" collapsed="false">
      <c r="A61" s="3" t="n">
        <v>40148</v>
      </c>
      <c r="B61" s="2" t="n">
        <v>83.3218573593667</v>
      </c>
      <c r="C61" s="2" t="n">
        <v>83.0464766345013</v>
      </c>
      <c r="D61" s="2" t="n">
        <v>83.6208510068105</v>
      </c>
      <c r="E61" s="2" t="n">
        <v>83.5827681319248</v>
      </c>
      <c r="F61" s="2" t="n">
        <v>84.6957392680504</v>
      </c>
      <c r="G61" s="2" t="n">
        <v>82.3544740469519</v>
      </c>
      <c r="H61" s="2" t="n">
        <v>83.0282983625398</v>
      </c>
      <c r="J61" s="2" t="n">
        <v>83.4838739193681</v>
      </c>
      <c r="K61" s="2" t="n">
        <v>84.2034271002919</v>
      </c>
      <c r="L61" s="2" t="n">
        <v>83.1760585016606</v>
      </c>
      <c r="M61" s="2" t="n">
        <v>80.4953578130351</v>
      </c>
    </row>
    <row r="62" customFormat="false" ht="15" hidden="false" customHeight="false" outlineLevel="0" collapsed="false">
      <c r="A62" s="3" t="n">
        <v>40179</v>
      </c>
      <c r="B62" s="2" t="n">
        <v>84.0139903347642</v>
      </c>
      <c r="C62" s="2" t="n">
        <v>83.6325847605499</v>
      </c>
      <c r="D62" s="2" t="n">
        <v>84.4390886668</v>
      </c>
      <c r="E62" s="2" t="n">
        <v>84.5318798908295</v>
      </c>
      <c r="F62" s="2" t="n">
        <v>85.8383082359015</v>
      </c>
      <c r="G62" s="2" t="n">
        <v>82.6454717084528</v>
      </c>
      <c r="H62" s="2" t="n">
        <v>83.3467258197033</v>
      </c>
      <c r="J62" s="2" t="n">
        <v>84.0779052621024</v>
      </c>
      <c r="K62" s="2" t="n">
        <v>84.7114367959047</v>
      </c>
      <c r="L62" s="2" t="n">
        <v>83.4498028328559</v>
      </c>
      <c r="M62" s="2" t="n">
        <v>81.2830313977755</v>
      </c>
    </row>
    <row r="63" customFormat="false" ht="15" hidden="false" customHeight="false" outlineLevel="0" collapsed="false">
      <c r="A63" s="3" t="n">
        <v>40210</v>
      </c>
      <c r="B63" s="2" t="n">
        <v>84.300315394084</v>
      </c>
      <c r="C63" s="2" t="n">
        <v>83.8769832970066</v>
      </c>
      <c r="D63" s="2" t="n">
        <v>84.7752762089071</v>
      </c>
      <c r="E63" s="2" t="n">
        <v>84.9964010569556</v>
      </c>
      <c r="F63" s="2" t="n">
        <v>85.9374695619462</v>
      </c>
      <c r="G63" s="2" t="n">
        <v>82.9574339662714</v>
      </c>
      <c r="H63" s="2" t="n">
        <v>83.589305096905</v>
      </c>
      <c r="J63" s="2" t="n">
        <v>84.2892528177942</v>
      </c>
      <c r="K63" s="2" t="n">
        <v>85.076393077612</v>
      </c>
      <c r="L63" s="2" t="n">
        <v>83.6959753170843</v>
      </c>
      <c r="M63" s="2" t="n">
        <v>81.5023247015941</v>
      </c>
    </row>
    <row r="64" customFormat="false" ht="15" hidden="false" customHeight="false" outlineLevel="0" collapsed="false">
      <c r="A64" s="3" t="n">
        <v>40238</v>
      </c>
      <c r="B64" s="2" t="n">
        <v>84.4376619411323</v>
      </c>
      <c r="C64" s="2" t="n">
        <v>84.0103435883081</v>
      </c>
      <c r="D64" s="2" t="n">
        <v>84.9173249871374</v>
      </c>
      <c r="E64" s="2" t="n">
        <v>84.8830348900364</v>
      </c>
      <c r="F64" s="2" t="n">
        <v>86.5152754700766</v>
      </c>
      <c r="G64" s="2" t="n">
        <v>83.4967477249511</v>
      </c>
      <c r="H64" s="2" t="n">
        <v>83.8552938985374</v>
      </c>
      <c r="J64" s="2" t="n">
        <v>84.4539231766499</v>
      </c>
      <c r="K64" s="2" t="n">
        <v>84.9379623411484</v>
      </c>
      <c r="L64" s="2" t="n">
        <v>83.699681352484</v>
      </c>
      <c r="M64" s="2" t="n">
        <v>81.8749342996236</v>
      </c>
    </row>
    <row r="65" customFormat="false" ht="15" hidden="false" customHeight="false" outlineLevel="0" collapsed="false">
      <c r="A65" s="3" t="n">
        <v>40269</v>
      </c>
      <c r="B65" s="2" t="n">
        <v>84.8744739332226</v>
      </c>
      <c r="C65" s="2" t="n">
        <v>84.2668741936357</v>
      </c>
      <c r="D65" s="2" t="n">
        <v>85.5688205908736</v>
      </c>
      <c r="E65" s="2" t="n">
        <v>85.4772282818992</v>
      </c>
      <c r="F65" s="2" t="n">
        <v>86.9101223709874</v>
      </c>
      <c r="G65" s="2" t="n">
        <v>84.449753480765</v>
      </c>
      <c r="H65" s="2" t="n">
        <v>84.8160384722198</v>
      </c>
      <c r="J65" s="2" t="n">
        <v>84.8351994909494</v>
      </c>
      <c r="K65" s="2" t="n">
        <v>84.8325430034548</v>
      </c>
      <c r="L65" s="2" t="n">
        <v>84.2864336954948</v>
      </c>
      <c r="M65" s="2" t="n">
        <v>81.9735106337249</v>
      </c>
    </row>
    <row r="66" customFormat="false" ht="15" hidden="false" customHeight="false" outlineLevel="0" collapsed="false">
      <c r="A66" s="3" t="n">
        <v>40299</v>
      </c>
      <c r="B66" s="2" t="n">
        <v>84.8886972846463</v>
      </c>
      <c r="C66" s="2" t="n">
        <v>84.3527897976162</v>
      </c>
      <c r="D66" s="2" t="n">
        <v>85.4976052114626</v>
      </c>
      <c r="E66" s="2" t="n">
        <v>85.6570527772752</v>
      </c>
      <c r="F66" s="2" t="n">
        <v>86.3349231088669</v>
      </c>
      <c r="G66" s="2" t="n">
        <v>84.4606913355865</v>
      </c>
      <c r="H66" s="2" t="n">
        <v>84.5645814973464</v>
      </c>
      <c r="J66" s="2" t="n">
        <v>84.8752203183034</v>
      </c>
      <c r="K66" s="2" t="n">
        <v>85.036258966421</v>
      </c>
      <c r="L66" s="2" t="n">
        <v>84.4778316095932</v>
      </c>
      <c r="M66" s="2" t="n">
        <v>82.0249072511072</v>
      </c>
    </row>
    <row r="67" customFormat="false" ht="15" hidden="false" customHeight="false" outlineLevel="0" collapsed="false">
      <c r="A67" s="3" t="n">
        <v>40330</v>
      </c>
      <c r="B67" s="2" t="n">
        <v>84.8808830793088</v>
      </c>
      <c r="C67" s="2" t="n">
        <v>84.4326595834064</v>
      </c>
      <c r="D67" s="2" t="n">
        <v>85.3853030607615</v>
      </c>
      <c r="E67" s="2" t="n">
        <v>85.7397881522711</v>
      </c>
      <c r="F67" s="2" t="n">
        <v>86.6313254900354</v>
      </c>
      <c r="G67" s="2" t="n">
        <v>84.0889689978135</v>
      </c>
      <c r="H67" s="2" t="n">
        <v>83.6332390266003</v>
      </c>
      <c r="J67" s="2" t="n">
        <v>84.6822996381217</v>
      </c>
      <c r="K67" s="2" t="n">
        <v>85.8286517909876</v>
      </c>
      <c r="L67" s="2" t="n">
        <v>84.6520494270784</v>
      </c>
      <c r="M67" s="2" t="n">
        <v>82.1403434645802</v>
      </c>
    </row>
    <row r="68" customFormat="false" ht="15" hidden="false" customHeight="false" outlineLevel="0" collapsed="false">
      <c r="A68" s="3" t="n">
        <v>40360</v>
      </c>
      <c r="B68" s="2" t="n">
        <v>84.8974887546035</v>
      </c>
      <c r="C68" s="2" t="n">
        <v>84.523854890221</v>
      </c>
      <c r="D68" s="2" t="n">
        <v>85.3130164417143</v>
      </c>
      <c r="E68" s="2" t="n">
        <v>85.6013935635376</v>
      </c>
      <c r="F68" s="2" t="n">
        <v>86.4712908275528</v>
      </c>
      <c r="G68" s="2" t="n">
        <v>83.9878630008679</v>
      </c>
      <c r="H68" s="2" t="n">
        <v>83.822189588232</v>
      </c>
      <c r="J68" s="2" t="n">
        <v>84.8531355220266</v>
      </c>
      <c r="K68" s="2" t="n">
        <v>85.6279683178332</v>
      </c>
      <c r="L68" s="2" t="n">
        <v>84.7021846451175</v>
      </c>
      <c r="M68" s="2" t="n">
        <v>82.3100411983306</v>
      </c>
    </row>
    <row r="69" customFormat="false" ht="15" hidden="false" customHeight="false" outlineLevel="0" collapsed="false">
      <c r="A69" s="3" t="n">
        <v>40391</v>
      </c>
      <c r="B69" s="2" t="n">
        <v>84.9879290882889</v>
      </c>
      <c r="C69" s="2" t="n">
        <v>84.5126824171965</v>
      </c>
      <c r="D69" s="2" t="n">
        <v>85.5245143933195</v>
      </c>
      <c r="E69" s="2" t="n">
        <v>85.7312842089448</v>
      </c>
      <c r="F69" s="2" t="n">
        <v>86.7813723552276</v>
      </c>
      <c r="G69" s="2" t="n">
        <v>84.3680775902212</v>
      </c>
      <c r="H69" s="2" t="n">
        <v>84.1007181742137</v>
      </c>
      <c r="J69" s="2" t="n">
        <v>84.9020091502644</v>
      </c>
      <c r="K69" s="2" t="n">
        <v>85.6543249329405</v>
      </c>
      <c r="L69" s="2" t="n">
        <v>84.8120387417174</v>
      </c>
      <c r="M69" s="2" t="n">
        <v>82.0323585986487</v>
      </c>
    </row>
    <row r="70" customFormat="false" ht="15" hidden="false" customHeight="false" outlineLevel="0" collapsed="false">
      <c r="A70" s="3" t="n">
        <v>40422</v>
      </c>
      <c r="B70" s="2" t="n">
        <v>85.2063065606174</v>
      </c>
      <c r="C70" s="2" t="n">
        <v>84.9227015574305</v>
      </c>
      <c r="D70" s="2" t="n">
        <v>85.5144411329937</v>
      </c>
      <c r="E70" s="2" t="n">
        <v>85.7957059233816</v>
      </c>
      <c r="F70" s="2" t="n">
        <v>86.6339640511095</v>
      </c>
      <c r="G70" s="2" t="n">
        <v>84.5471534700614</v>
      </c>
      <c r="H70" s="2" t="n">
        <v>83.9797055401293</v>
      </c>
      <c r="J70" s="2" t="n">
        <v>85.0132584675587</v>
      </c>
      <c r="K70" s="2" t="n">
        <v>86.0296260681515</v>
      </c>
      <c r="L70" s="2" t="n">
        <v>85.9905383578938</v>
      </c>
      <c r="M70" s="2" t="n">
        <v>82.9687430200012</v>
      </c>
    </row>
    <row r="71" customFormat="false" ht="15" hidden="false" customHeight="false" outlineLevel="0" collapsed="false">
      <c r="A71" s="3" t="n">
        <v>40452</v>
      </c>
      <c r="B71" s="2" t="n">
        <v>85.4230041754569</v>
      </c>
      <c r="C71" s="2" t="n">
        <v>85.0973969580843</v>
      </c>
      <c r="D71" s="2" t="n">
        <v>85.7811158058911</v>
      </c>
      <c r="E71" s="2" t="n">
        <v>86.2710723293032</v>
      </c>
      <c r="F71" s="2" t="n">
        <v>86.8578547929494</v>
      </c>
      <c r="G71" s="2" t="n">
        <v>84.5602132986341</v>
      </c>
      <c r="H71" s="2" t="n">
        <v>83.8244758224676</v>
      </c>
      <c r="J71" s="2" t="n">
        <v>85.2628106033294</v>
      </c>
      <c r="K71" s="2" t="n">
        <v>85.9257189065656</v>
      </c>
      <c r="L71" s="2" t="n">
        <v>86.1882869903853</v>
      </c>
      <c r="M71" s="2" t="n">
        <v>83.1921025079281</v>
      </c>
    </row>
    <row r="72" customFormat="false" ht="15" hidden="false" customHeight="false" outlineLevel="0" collapsed="false">
      <c r="A72" s="3" t="n">
        <v>40483</v>
      </c>
      <c r="B72" s="2" t="n">
        <v>85.6542604908151</v>
      </c>
      <c r="C72" s="2" t="n">
        <v>85.2289280735031</v>
      </c>
      <c r="D72" s="2" t="n">
        <v>86.1311310299418</v>
      </c>
      <c r="E72" s="2" t="n">
        <v>86.6498220957643</v>
      </c>
      <c r="F72" s="2" t="n">
        <v>86.8195584207783</v>
      </c>
      <c r="G72" s="2" t="n">
        <v>84.9778968103923</v>
      </c>
      <c r="H72" s="2" t="n">
        <v>84.4552419219153</v>
      </c>
      <c r="J72" s="2" t="n">
        <v>85.1639960924262</v>
      </c>
      <c r="K72" s="2" t="n">
        <v>86.186657642169</v>
      </c>
      <c r="L72" s="2" t="n">
        <v>86.207935833612</v>
      </c>
      <c r="M72" s="2" t="n">
        <v>83.9095974689899</v>
      </c>
    </row>
    <row r="73" customFormat="false" ht="15" hidden="false" customHeight="false" outlineLevel="0" collapsed="false">
      <c r="A73" s="3" t="n">
        <v>40513</v>
      </c>
      <c r="B73" s="2" t="n">
        <v>86.0948379969749</v>
      </c>
      <c r="C73" s="2" t="n">
        <v>85.6480332622316</v>
      </c>
      <c r="D73" s="2" t="n">
        <v>86.5971422836501</v>
      </c>
      <c r="E73" s="2" t="n">
        <v>86.9886239960823</v>
      </c>
      <c r="F73" s="2" t="n">
        <v>87.2856698550627</v>
      </c>
      <c r="G73" s="2" t="n">
        <v>85.529693388305</v>
      </c>
      <c r="H73" s="2" t="n">
        <v>85.2224064262769</v>
      </c>
      <c r="J73" s="2" t="n">
        <v>85.6196313678351</v>
      </c>
      <c r="K73" s="2" t="n">
        <v>86.5278734015278</v>
      </c>
      <c r="L73" s="2" t="n">
        <v>86.4593481176829</v>
      </c>
      <c r="M73" s="2" t="n">
        <v>84.3796589779119</v>
      </c>
    </row>
    <row r="74" customFormat="false" ht="15" hidden="false" customHeight="false" outlineLevel="0" collapsed="false">
      <c r="A74" s="3" t="n">
        <v>40544</v>
      </c>
      <c r="B74" s="2" t="n">
        <v>86.6795835361788</v>
      </c>
      <c r="C74" s="2" t="n">
        <v>86.2061655816524</v>
      </c>
      <c r="D74" s="2" t="n">
        <v>87.2133973751263</v>
      </c>
      <c r="E74" s="2" t="n">
        <v>87.7439275858137</v>
      </c>
      <c r="F74" s="2" t="n">
        <v>87.6178188777375</v>
      </c>
      <c r="G74" s="2" t="n">
        <v>86.2950030451858</v>
      </c>
      <c r="H74" s="2" t="n">
        <v>85.7147886363459</v>
      </c>
      <c r="J74" s="2" t="n">
        <v>86.0543644914492</v>
      </c>
      <c r="K74" s="2" t="n">
        <v>87.1928809661946</v>
      </c>
      <c r="L74" s="2" t="n">
        <v>87.0167079144114</v>
      </c>
      <c r="M74" s="2" t="n">
        <v>85.1861096179669</v>
      </c>
    </row>
    <row r="75" customFormat="false" ht="15" hidden="false" customHeight="false" outlineLevel="0" collapsed="false">
      <c r="A75" s="3" t="n">
        <v>40575</v>
      </c>
      <c r="B75" s="2" t="n">
        <v>87.1606213395727</v>
      </c>
      <c r="C75" s="2" t="n">
        <v>86.7192823846243</v>
      </c>
      <c r="D75" s="2" t="n">
        <v>87.6560390805115</v>
      </c>
      <c r="E75" s="2" t="n">
        <v>88.3278347011793</v>
      </c>
      <c r="F75" s="2" t="n">
        <v>88.0081051616084</v>
      </c>
      <c r="G75" s="2" t="n">
        <v>86.6242840839474</v>
      </c>
      <c r="H75" s="2" t="n">
        <v>85.8781050754211</v>
      </c>
      <c r="J75" s="2" t="n">
        <v>86.40894384248</v>
      </c>
      <c r="K75" s="2" t="n">
        <v>87.6809982751522</v>
      </c>
      <c r="L75" s="2" t="n">
        <v>87.4168216356784</v>
      </c>
      <c r="M75" s="2" t="n">
        <v>86.2314646638246</v>
      </c>
    </row>
    <row r="76" customFormat="false" ht="15" hidden="false" customHeight="false" outlineLevel="0" collapsed="false">
      <c r="A76" s="3" t="n">
        <v>40603</v>
      </c>
      <c r="B76" s="2" t="n">
        <v>87.454201232613</v>
      </c>
      <c r="C76" s="2" t="n">
        <v>87.0295112980218</v>
      </c>
      <c r="D76" s="2" t="n">
        <v>87.929675998914</v>
      </c>
      <c r="E76" s="2" t="n">
        <v>88.2669129275334</v>
      </c>
      <c r="F76" s="2" t="n">
        <v>88.597145467979</v>
      </c>
      <c r="G76" s="2" t="n">
        <v>86.7278937932878</v>
      </c>
      <c r="H76" s="2" t="n">
        <v>86.750927303768</v>
      </c>
      <c r="J76" s="2" t="n">
        <v>86.6647290850669</v>
      </c>
      <c r="K76" s="2" t="n">
        <v>87.9474062248446</v>
      </c>
      <c r="L76" s="2" t="n">
        <v>87.8977367688445</v>
      </c>
      <c r="M76" s="2" t="n">
        <v>86.659753159889</v>
      </c>
    </row>
    <row r="77" customFormat="false" ht="15" hidden="false" customHeight="false" outlineLevel="0" collapsed="false">
      <c r="A77" s="3" t="n">
        <v>40634</v>
      </c>
      <c r="B77" s="2" t="n">
        <v>88.1713959367154</v>
      </c>
      <c r="C77" s="2" t="n">
        <v>87.3546510068856</v>
      </c>
      <c r="D77" s="2" t="n">
        <v>89.1138211341619</v>
      </c>
      <c r="E77" s="2" t="n">
        <v>89.6085199770841</v>
      </c>
      <c r="F77" s="2" t="n">
        <v>89.7877991117449</v>
      </c>
      <c r="G77" s="2" t="n">
        <v>87.5078454692579</v>
      </c>
      <c r="H77" s="2" t="n">
        <v>87.638424772663</v>
      </c>
      <c r="J77" s="2" t="n">
        <v>86.905588773424</v>
      </c>
      <c r="K77" s="2" t="n">
        <v>88.4467537495487</v>
      </c>
      <c r="L77" s="2" t="n">
        <v>88.0700518393672</v>
      </c>
      <c r="M77" s="2" t="n">
        <v>87.1270173558364</v>
      </c>
    </row>
    <row r="78" customFormat="false" ht="15" hidden="false" customHeight="false" outlineLevel="0" collapsed="false">
      <c r="A78" s="3" t="n">
        <v>40664</v>
      </c>
      <c r="B78" s="2" t="n">
        <v>88.476337081723</v>
      </c>
      <c r="C78" s="2" t="n">
        <v>87.7610547367876</v>
      </c>
      <c r="D78" s="2" t="n">
        <v>89.2977452570581</v>
      </c>
      <c r="E78" s="2" t="n">
        <v>89.5842040392859</v>
      </c>
      <c r="F78" s="2" t="n">
        <v>90.1519029006413</v>
      </c>
      <c r="G78" s="2" t="n">
        <v>88.0174096274594</v>
      </c>
      <c r="H78" s="2" t="n">
        <v>88.0910924375267</v>
      </c>
      <c r="J78" s="2" t="n">
        <v>87.5902156597933</v>
      </c>
      <c r="K78" s="2" t="n">
        <v>88.6389828176856</v>
      </c>
      <c r="L78" s="2" t="n">
        <v>88.310148604854</v>
      </c>
      <c r="M78" s="2" t="n">
        <v>87.0248726988629</v>
      </c>
    </row>
    <row r="79" customFormat="false" ht="15" hidden="false" customHeight="false" outlineLevel="0" collapsed="false">
      <c r="A79" s="3" t="n">
        <v>40695</v>
      </c>
      <c r="B79" s="2" t="n">
        <v>88.5115259099625</v>
      </c>
      <c r="C79" s="2" t="n">
        <v>87.8240834201666</v>
      </c>
      <c r="D79" s="2" t="n">
        <v>89.2997457507767</v>
      </c>
      <c r="E79" s="2" t="n">
        <v>90.1330565896762</v>
      </c>
      <c r="F79" s="2" t="n">
        <v>89.4959449277187</v>
      </c>
      <c r="G79" s="2" t="n">
        <v>88.4439304156203</v>
      </c>
      <c r="H79" s="2" t="n">
        <v>87.2097749100752</v>
      </c>
      <c r="J79" s="2" t="n">
        <v>87.5245720026796</v>
      </c>
      <c r="K79" s="2" t="n">
        <v>88.945186018981</v>
      </c>
      <c r="L79" s="2" t="n">
        <v>88.3454396281049</v>
      </c>
      <c r="M79" s="2" t="n">
        <v>87.2304164006813</v>
      </c>
    </row>
    <row r="80" customFormat="false" ht="15" hidden="false" customHeight="false" outlineLevel="0" collapsed="false">
      <c r="A80" s="3" t="n">
        <v>40725</v>
      </c>
      <c r="B80" s="2" t="n">
        <v>88.6671485410335</v>
      </c>
      <c r="C80" s="2" t="n">
        <v>88.0663111121486</v>
      </c>
      <c r="D80" s="2" t="n">
        <v>89.3521089511571</v>
      </c>
      <c r="E80" s="2" t="n">
        <v>89.9541593905625</v>
      </c>
      <c r="F80" s="2" t="n">
        <v>90.1844227888499</v>
      </c>
      <c r="G80" s="2" t="n">
        <v>88.3277605689217</v>
      </c>
      <c r="H80" s="2" t="n">
        <v>87.2888789541295</v>
      </c>
      <c r="J80" s="2" t="n">
        <v>87.8980884053983</v>
      </c>
      <c r="K80" s="2" t="n">
        <v>89.0430811567456</v>
      </c>
      <c r="L80" s="2" t="n">
        <v>88.3705190418063</v>
      </c>
      <c r="M80" s="2" t="n">
        <v>87.3409490197981</v>
      </c>
    </row>
    <row r="81" customFormat="false" ht="15" hidden="false" customHeight="false" outlineLevel="0" collapsed="false">
      <c r="A81" s="3" t="n">
        <v>40756</v>
      </c>
      <c r="B81" s="2" t="n">
        <v>89.0980489953974</v>
      </c>
      <c r="C81" s="2" t="n">
        <v>88.5982970260873</v>
      </c>
      <c r="D81" s="2" t="n">
        <v>89.6623976964037</v>
      </c>
      <c r="E81" s="2" t="n">
        <v>90.1413232564341</v>
      </c>
      <c r="F81" s="2" t="n">
        <v>90.2497706262006</v>
      </c>
      <c r="G81" s="2" t="n">
        <v>88.5195221305677</v>
      </c>
      <c r="H81" s="2" t="n">
        <v>88.1819601319916</v>
      </c>
      <c r="J81" s="2" t="n">
        <v>88.3202773033544</v>
      </c>
      <c r="K81" s="2" t="n">
        <v>89.7715188513532</v>
      </c>
      <c r="L81" s="2" t="n">
        <v>88.5947938214665</v>
      </c>
      <c r="M81" s="2" t="n">
        <v>88.1394833285245</v>
      </c>
    </row>
    <row r="82" customFormat="false" ht="15" hidden="false" customHeight="false" outlineLevel="0" collapsed="false">
      <c r="A82" s="3" t="n">
        <v>40787</v>
      </c>
      <c r="B82" s="2" t="n">
        <v>89.8026911941672</v>
      </c>
      <c r="C82" s="2" t="n">
        <v>89.5234150429785</v>
      </c>
      <c r="D82" s="2" t="n">
        <v>90.1040580353251</v>
      </c>
      <c r="E82" s="2" t="n">
        <v>90.6804676425508</v>
      </c>
      <c r="F82" s="2" t="n">
        <v>90.952621982433</v>
      </c>
      <c r="G82" s="2" t="n">
        <v>87.9857514268765</v>
      </c>
      <c r="H82" s="2" t="n">
        <v>88.394179019707</v>
      </c>
      <c r="J82" s="2" t="n">
        <v>89.2080271667477</v>
      </c>
      <c r="K82" s="2" t="n">
        <v>90.7433183634366</v>
      </c>
      <c r="L82" s="2" t="n">
        <v>89.4200383736517</v>
      </c>
      <c r="M82" s="2" t="n">
        <v>89.1720407657949</v>
      </c>
    </row>
    <row r="83" customFormat="false" ht="15" hidden="false" customHeight="false" outlineLevel="0" collapsed="false">
      <c r="A83" s="3" t="n">
        <v>40817</v>
      </c>
      <c r="B83" s="2" t="n">
        <v>90.1189395929231</v>
      </c>
      <c r="C83" s="2" t="n">
        <v>89.9570194959435</v>
      </c>
      <c r="D83" s="2" t="n">
        <v>90.2803456285576</v>
      </c>
      <c r="E83" s="2" t="n">
        <v>90.5322845127907</v>
      </c>
      <c r="F83" s="2" t="n">
        <v>91.1654668332745</v>
      </c>
      <c r="G83" s="2" t="n">
        <v>88.3328086925852</v>
      </c>
      <c r="H83" s="2" t="n">
        <v>89.3171775844708</v>
      </c>
      <c r="J83" s="2" t="n">
        <v>89.8143952369287</v>
      </c>
      <c r="K83" s="2" t="n">
        <v>91.1539254076279</v>
      </c>
      <c r="L83" s="2" t="n">
        <v>90.1214835137911</v>
      </c>
      <c r="M83" s="2" t="n">
        <v>89.0054282094374</v>
      </c>
    </row>
    <row r="84" customFormat="false" ht="15" hidden="false" customHeight="false" outlineLevel="0" collapsed="false">
      <c r="A84" s="3" t="n">
        <v>40848</v>
      </c>
      <c r="B84" s="2" t="n">
        <v>90.3923317149425</v>
      </c>
      <c r="C84" s="2" t="n">
        <v>89.872046483157</v>
      </c>
      <c r="D84" s="2" t="n">
        <v>90.9806962420606</v>
      </c>
      <c r="E84" s="2" t="n">
        <v>91.1473965318694</v>
      </c>
      <c r="F84" s="2" t="n">
        <v>91.7176932303997</v>
      </c>
      <c r="G84" s="2" t="n">
        <v>89.3496590872882</v>
      </c>
      <c r="H84" s="2" t="n">
        <v>90.2897639322304</v>
      </c>
      <c r="J84" s="2" t="n">
        <v>89.6077915789258</v>
      </c>
      <c r="K84" s="2" t="n">
        <v>91.3322470345584</v>
      </c>
      <c r="L84" s="2" t="n">
        <v>89.8961599202365</v>
      </c>
      <c r="M84" s="2" t="n">
        <v>89.0764909273717</v>
      </c>
    </row>
    <row r="85" customFormat="false" ht="15" hidden="false" customHeight="false" outlineLevel="0" collapsed="false">
      <c r="A85" s="3" t="n">
        <v>40878</v>
      </c>
      <c r="B85" s="2" t="n">
        <v>90.7520369037975</v>
      </c>
      <c r="C85" s="2" t="n">
        <v>90.4270876321072</v>
      </c>
      <c r="D85" s="2" t="n">
        <v>91.1074988308963</v>
      </c>
      <c r="E85" s="2" t="n">
        <v>91.0634623072721</v>
      </c>
      <c r="F85" s="2" t="n">
        <v>91.9669282855722</v>
      </c>
      <c r="G85" s="2" t="n">
        <v>90.0085478853442</v>
      </c>
      <c r="H85" s="2" t="n">
        <v>90.6898894037166</v>
      </c>
      <c r="J85" s="2" t="n">
        <v>90.1968382423245</v>
      </c>
      <c r="K85" s="2" t="n">
        <v>91.7389269981467</v>
      </c>
      <c r="L85" s="2" t="n">
        <v>90.2064172570058</v>
      </c>
      <c r="M85" s="2" t="n">
        <v>89.7955285236975</v>
      </c>
    </row>
    <row r="86" customFormat="false" ht="15" hidden="false" customHeight="false" outlineLevel="0" collapsed="false">
      <c r="A86" s="3" t="n">
        <v>40909</v>
      </c>
      <c r="B86" s="2" t="n">
        <v>91.2667390855198</v>
      </c>
      <c r="C86" s="2" t="n">
        <v>91.2480215453582</v>
      </c>
      <c r="D86" s="2" t="n">
        <v>91.2570926069847</v>
      </c>
      <c r="E86" s="2" t="n">
        <v>91.0774305945378</v>
      </c>
      <c r="F86" s="2" t="n">
        <v>92.1862928999547</v>
      </c>
      <c r="G86" s="2" t="n">
        <v>91.0439144637505</v>
      </c>
      <c r="H86" s="2" t="n">
        <v>90.8733046493939</v>
      </c>
      <c r="J86" s="2" t="n">
        <v>91.1335309018361</v>
      </c>
      <c r="K86" s="2" t="n">
        <v>92.1933701644613</v>
      </c>
      <c r="L86" s="2" t="n">
        <v>91.0312298859676</v>
      </c>
      <c r="M86" s="2" t="n">
        <v>90.6427532962083</v>
      </c>
    </row>
    <row r="87" customFormat="false" ht="15" hidden="false" customHeight="false" outlineLevel="0" collapsed="false">
      <c r="A87" s="3" t="n">
        <v>40940</v>
      </c>
      <c r="B87" s="2" t="n">
        <v>91.9763261289862</v>
      </c>
      <c r="C87" s="2" t="n">
        <v>91.6931582839928</v>
      </c>
      <c r="D87" s="2" t="n">
        <v>92.2815696279299</v>
      </c>
      <c r="E87" s="2" t="n">
        <v>91.9177264986721</v>
      </c>
      <c r="F87" s="2" t="n">
        <v>93.547548891605</v>
      </c>
      <c r="G87" s="2" t="n">
        <v>91.6782590920878</v>
      </c>
      <c r="H87" s="2" t="n">
        <v>92.1531148273381</v>
      </c>
      <c r="J87" s="2" t="n">
        <v>91.5465577478967</v>
      </c>
      <c r="K87" s="2" t="n">
        <v>92.3404837196034</v>
      </c>
      <c r="L87" s="2" t="n">
        <v>91.8069044565251</v>
      </c>
      <c r="M87" s="2" t="n">
        <v>91.3164194246451</v>
      </c>
    </row>
    <row r="88" customFormat="false" ht="15" hidden="false" customHeight="false" outlineLevel="0" collapsed="false">
      <c r="A88" s="3" t="n">
        <v>40969</v>
      </c>
      <c r="B88" s="2" t="n">
        <v>92.8049572793552</v>
      </c>
      <c r="C88" s="2" t="n">
        <v>92.4046558903293</v>
      </c>
      <c r="D88" s="2" t="n">
        <v>93.249495612205</v>
      </c>
      <c r="E88" s="2" t="n">
        <v>93.0106902471487</v>
      </c>
      <c r="F88" s="2" t="n">
        <v>94.7576317377981</v>
      </c>
      <c r="G88" s="2" t="n">
        <v>91.7908476901341</v>
      </c>
      <c r="H88" s="2" t="n">
        <v>92.8060919455777</v>
      </c>
      <c r="J88" s="2" t="n">
        <v>92.0772222647837</v>
      </c>
      <c r="K88" s="2" t="n">
        <v>93.0598949881349</v>
      </c>
      <c r="L88" s="2" t="n">
        <v>92.2824716394066</v>
      </c>
      <c r="M88" s="2" t="n">
        <v>92.649695194846</v>
      </c>
    </row>
    <row r="89" customFormat="false" ht="15" hidden="false" customHeight="false" outlineLevel="0" collapsed="false">
      <c r="A89" s="3" t="n">
        <v>41000</v>
      </c>
      <c r="B89" s="2" t="n">
        <v>92.9515853950999</v>
      </c>
      <c r="C89" s="2" t="n">
        <v>92.2089453449506</v>
      </c>
      <c r="D89" s="2" t="n">
        <v>93.8040282757904</v>
      </c>
      <c r="E89" s="2" t="n">
        <v>93.5078356597884</v>
      </c>
      <c r="F89" s="2" t="n">
        <v>94.9383049515741</v>
      </c>
      <c r="G89" s="2" t="n">
        <v>92.4982208677461</v>
      </c>
      <c r="H89" s="2" t="n">
        <v>93.8239360893023</v>
      </c>
      <c r="J89" s="2" t="n">
        <v>92.0880063241542</v>
      </c>
      <c r="K89" s="2" t="n">
        <v>92.9119778388592</v>
      </c>
      <c r="L89" s="2" t="n">
        <v>91.9292772203856</v>
      </c>
      <c r="M89" s="2" t="n">
        <v>91.8895748538659</v>
      </c>
    </row>
    <row r="90" customFormat="false" ht="15" hidden="false" customHeight="false" outlineLevel="0" collapsed="false">
      <c r="A90" s="3" t="n">
        <v>41030</v>
      </c>
      <c r="B90" s="2" t="n">
        <v>92.7712070688993</v>
      </c>
      <c r="C90" s="2" t="n">
        <v>91.9983880878816</v>
      </c>
      <c r="D90" s="2" t="n">
        <v>93.6596765280113</v>
      </c>
      <c r="E90" s="2" t="n">
        <v>93.4550876078356</v>
      </c>
      <c r="F90" s="2" t="n">
        <v>94.6231432098122</v>
      </c>
      <c r="G90" s="2" t="n">
        <v>92.7994320311284</v>
      </c>
      <c r="H90" s="2" t="n">
        <v>93.4859501940295</v>
      </c>
      <c r="J90" s="2" t="n">
        <v>91.9400610700449</v>
      </c>
      <c r="K90" s="2" t="n">
        <v>92.7556883059621</v>
      </c>
      <c r="L90" s="2" t="n">
        <v>91.6654250416017</v>
      </c>
      <c r="M90" s="2" t="n">
        <v>91.4714968837508</v>
      </c>
    </row>
    <row r="91" customFormat="false" ht="15" hidden="false" customHeight="false" outlineLevel="0" collapsed="false">
      <c r="A91" s="3" t="n">
        <v>41061</v>
      </c>
      <c r="B91" s="2" t="n">
        <v>92.9336446706311</v>
      </c>
      <c r="C91" s="2" t="n">
        <v>92.3596619642071</v>
      </c>
      <c r="D91" s="2" t="n">
        <v>93.5851093596126</v>
      </c>
      <c r="E91" s="2" t="n">
        <v>93.7112627109144</v>
      </c>
      <c r="F91" s="2" t="n">
        <v>94.7941773051092</v>
      </c>
      <c r="G91" s="2" t="n">
        <v>91.9784935287731</v>
      </c>
      <c r="H91" s="2" t="n">
        <v>92.5373003183693</v>
      </c>
      <c r="J91" s="2" t="n">
        <v>92.2450521144452</v>
      </c>
      <c r="K91" s="2" t="n">
        <v>92.5768110335607</v>
      </c>
      <c r="L91" s="2" t="n">
        <v>91.6470011888532</v>
      </c>
      <c r="M91" s="2" t="n">
        <v>92.7058187142112</v>
      </c>
    </row>
    <row r="92" customFormat="false" ht="15" hidden="false" customHeight="false" outlineLevel="0" collapsed="false">
      <c r="A92" s="3" t="n">
        <v>41091</v>
      </c>
      <c r="B92" s="2" t="n">
        <v>93.1764126242344</v>
      </c>
      <c r="C92" s="2" t="n">
        <v>92.6601996186937</v>
      </c>
      <c r="D92" s="2" t="n">
        <v>93.7589497056495</v>
      </c>
      <c r="E92" s="2" t="n">
        <v>94.0678007185286</v>
      </c>
      <c r="F92" s="2" t="n">
        <v>93.8893430253442</v>
      </c>
      <c r="G92" s="2" t="n">
        <v>92.4111696960535</v>
      </c>
      <c r="H92" s="2" t="n">
        <v>93.2085349847359</v>
      </c>
      <c r="J92" s="2" t="n">
        <v>92.6921598772161</v>
      </c>
      <c r="K92" s="2" t="n">
        <v>92.9000710842784</v>
      </c>
      <c r="L92" s="2" t="n">
        <v>91.9540452698189</v>
      </c>
      <c r="M92" s="2" t="n">
        <v>92.5602115913065</v>
      </c>
    </row>
    <row r="93" customFormat="false" ht="15" hidden="false" customHeight="false" outlineLevel="0" collapsed="false">
      <c r="A93" s="3" t="n">
        <v>41122</v>
      </c>
      <c r="B93" s="2" t="n">
        <v>93.4453823885378</v>
      </c>
      <c r="C93" s="2" t="n">
        <v>92.9410189900775</v>
      </c>
      <c r="D93" s="2" t="n">
        <v>94.0137044443052</v>
      </c>
      <c r="E93" s="2" t="n">
        <v>94.0752813082295</v>
      </c>
      <c r="F93" s="2" t="n">
        <v>94.4922672713781</v>
      </c>
      <c r="G93" s="2" t="n">
        <v>92.84003402913</v>
      </c>
      <c r="H93" s="2" t="n">
        <v>93.7124590284257</v>
      </c>
      <c r="J93" s="2" t="n">
        <v>93.0901147461963</v>
      </c>
      <c r="K93" s="2" t="n">
        <v>93.378553761475</v>
      </c>
      <c r="L93" s="2" t="n">
        <v>92.1680490223074</v>
      </c>
      <c r="M93" s="2" t="n">
        <v>92.3417258422892</v>
      </c>
    </row>
    <row r="94" customFormat="false" ht="15" hidden="false" customHeight="false" outlineLevel="0" collapsed="false">
      <c r="A94" s="3" t="n">
        <v>41153</v>
      </c>
      <c r="B94" s="2" t="n">
        <v>94.4937590764561</v>
      </c>
      <c r="C94" s="2" t="n">
        <v>94.108676158726</v>
      </c>
      <c r="D94" s="2" t="n">
        <v>94.9195707271841</v>
      </c>
      <c r="E94" s="2" t="n">
        <v>94.7423055429881</v>
      </c>
      <c r="F94" s="2" t="n">
        <v>96.0080853887104</v>
      </c>
      <c r="G94" s="2" t="n">
        <v>93.9433193010692</v>
      </c>
      <c r="H94" s="2" t="n">
        <v>94.5879531233805</v>
      </c>
      <c r="J94" s="2" t="n">
        <v>94.69637326988</v>
      </c>
      <c r="K94" s="2" t="n">
        <v>93.7913836494187</v>
      </c>
      <c r="L94" s="2" t="n">
        <v>93.5115259950631</v>
      </c>
      <c r="M94" s="2" t="n">
        <v>92.9105186807612</v>
      </c>
    </row>
    <row r="95" customFormat="false" ht="15" hidden="false" customHeight="false" outlineLevel="0" collapsed="false">
      <c r="A95" s="3" t="n">
        <v>41183</v>
      </c>
      <c r="B95" s="2" t="n">
        <v>94.5750309307929</v>
      </c>
      <c r="C95" s="2" t="n">
        <v>94.3507818280834</v>
      </c>
      <c r="D95" s="2" t="n">
        <v>94.8091527475333</v>
      </c>
      <c r="E95" s="2" t="n">
        <v>94.5746257840979</v>
      </c>
      <c r="F95" s="2" t="n">
        <v>95.4526903744402</v>
      </c>
      <c r="G95" s="2" t="n">
        <v>94.3658032094116</v>
      </c>
      <c r="H95" s="2" t="n">
        <v>94.9034628329854</v>
      </c>
      <c r="J95" s="2" t="n">
        <v>94.4576881505832</v>
      </c>
      <c r="K95" s="2" t="n">
        <v>94.2706544445971</v>
      </c>
      <c r="L95" s="2" t="n">
        <v>93.5211334458736</v>
      </c>
      <c r="M95" s="2" t="n">
        <v>94.4076843433857</v>
      </c>
    </row>
    <row r="96" customFormat="false" ht="15" hidden="false" customHeight="false" outlineLevel="0" collapsed="false">
      <c r="A96" s="3" t="n">
        <v>41214</v>
      </c>
      <c r="B96" s="2" t="n">
        <v>94.706817778578</v>
      </c>
      <c r="C96" s="2" t="n">
        <v>94.3095156720775</v>
      </c>
      <c r="D96" s="2" t="n">
        <v>95.1471161217372</v>
      </c>
      <c r="E96" s="2" t="n">
        <v>94.6508596923659</v>
      </c>
      <c r="F96" s="2" t="n">
        <v>95.9949142448119</v>
      </c>
      <c r="G96" s="2" t="n">
        <v>93.7267148479096</v>
      </c>
      <c r="H96" s="2" t="n">
        <v>95.9851431915263</v>
      </c>
      <c r="J96" s="2" t="n">
        <v>94.3884169499435</v>
      </c>
      <c r="K96" s="2" t="n">
        <v>94.3020718845268</v>
      </c>
      <c r="L96" s="2" t="n">
        <v>93.7320340610512</v>
      </c>
      <c r="M96" s="2" t="n">
        <v>94.2556766162285</v>
      </c>
    </row>
    <row r="97" customFormat="false" ht="15" hidden="false" customHeight="false" outlineLevel="0" collapsed="false">
      <c r="A97" s="3" t="n">
        <v>41244</v>
      </c>
      <c r="B97" s="2" t="n">
        <v>94.5308696897452</v>
      </c>
      <c r="C97" s="2" t="n">
        <v>94.0488850773956</v>
      </c>
      <c r="D97" s="2" t="n">
        <v>95.0721435216178</v>
      </c>
      <c r="E97" s="2" t="n">
        <v>94.6306804911021</v>
      </c>
      <c r="F97" s="2" t="n">
        <v>95.8660752474981</v>
      </c>
      <c r="G97" s="2" t="n">
        <v>93.4763247021436</v>
      </c>
      <c r="H97" s="2" t="n">
        <v>95.8705574789817</v>
      </c>
      <c r="J97" s="2" t="n">
        <v>94.0182000747672</v>
      </c>
      <c r="K97" s="2" t="n">
        <v>93.8397367444947</v>
      </c>
      <c r="L97" s="2" t="n">
        <v>93.7473911715627</v>
      </c>
      <c r="M97" s="2" t="n">
        <v>94.3775362086803</v>
      </c>
    </row>
    <row r="98" customFormat="false" ht="15" hidden="false" customHeight="false" outlineLevel="0" collapsed="false">
      <c r="A98" s="3" t="n">
        <v>41275</v>
      </c>
      <c r="B98" s="2" t="n">
        <v>95.0061925803642</v>
      </c>
      <c r="C98" s="2" t="n">
        <v>94.4744439501738</v>
      </c>
      <c r="D98" s="2" t="n">
        <v>95.6066024629458</v>
      </c>
      <c r="E98" s="2" t="n">
        <v>95.1857587790717</v>
      </c>
      <c r="F98" s="2" t="n">
        <v>96.5710442743554</v>
      </c>
      <c r="G98" s="2" t="n">
        <v>94.1819195232429</v>
      </c>
      <c r="H98" s="2" t="n">
        <v>96.1410001366902</v>
      </c>
      <c r="J98" s="2" t="n">
        <v>94.6540049962751</v>
      </c>
      <c r="K98" s="2" t="n">
        <v>94.2196105097856</v>
      </c>
      <c r="L98" s="2" t="n">
        <v>93.821211192245</v>
      </c>
      <c r="M98" s="2" t="n">
        <v>94.4113555891924</v>
      </c>
    </row>
    <row r="99" customFormat="false" ht="15" hidden="false" customHeight="false" outlineLevel="0" collapsed="false">
      <c r="A99" s="3" t="n">
        <v>41306</v>
      </c>
      <c r="B99" s="2" t="n">
        <v>95.1816635783743</v>
      </c>
      <c r="C99" s="2" t="n">
        <v>94.5969448339054</v>
      </c>
      <c r="D99" s="2" t="n">
        <v>95.8451351070407</v>
      </c>
      <c r="E99" s="2" t="n">
        <v>95.5053502770955</v>
      </c>
      <c r="F99" s="2" t="n">
        <v>97.0018251319437</v>
      </c>
      <c r="G99" s="2" t="n">
        <v>94.6776353534643</v>
      </c>
      <c r="H99" s="2" t="n">
        <v>95.9163331248749</v>
      </c>
      <c r="J99" s="2" t="n">
        <v>94.6971247780989</v>
      </c>
      <c r="K99" s="2" t="n">
        <v>94.7052481847282</v>
      </c>
      <c r="L99" s="2" t="n">
        <v>94.0136147750034</v>
      </c>
      <c r="M99" s="2" t="n">
        <v>94.3704967984843</v>
      </c>
    </row>
    <row r="100" customFormat="false" ht="15" hidden="false" customHeight="false" outlineLevel="0" collapsed="false">
      <c r="A100" s="3" t="n">
        <v>41334</v>
      </c>
      <c r="B100" s="2" t="n">
        <v>95.5989252098167</v>
      </c>
      <c r="C100" s="2" t="n">
        <v>95.113712394915</v>
      </c>
      <c r="D100" s="2" t="n">
        <v>96.1436720881143</v>
      </c>
      <c r="E100" s="2" t="n">
        <v>95.5274207793639</v>
      </c>
      <c r="F100" s="2" t="n">
        <v>97.7049705097422</v>
      </c>
      <c r="G100" s="2" t="n">
        <v>95.3530506397872</v>
      </c>
      <c r="H100" s="2" t="n">
        <v>96.4281697988313</v>
      </c>
      <c r="J100" s="2" t="n">
        <v>95.0922216378095</v>
      </c>
      <c r="K100" s="2" t="n">
        <v>95.0395363352799</v>
      </c>
      <c r="L100" s="2" t="n">
        <v>94.7649314012015</v>
      </c>
      <c r="M100" s="2" t="n">
        <v>95.3042128225419</v>
      </c>
    </row>
    <row r="101" customFormat="false" ht="15" hidden="false" customHeight="false" outlineLevel="0" collapsed="false">
      <c r="A101" s="3" t="n">
        <v>41365</v>
      </c>
      <c r="B101" s="2" t="n">
        <v>95.7700534311449</v>
      </c>
      <c r="C101" s="2" t="n">
        <v>95.0313321059826</v>
      </c>
      <c r="D101" s="2" t="n">
        <v>96.6168397508528</v>
      </c>
      <c r="E101" s="2" t="n">
        <v>96.2926554076667</v>
      </c>
      <c r="F101" s="2" t="n">
        <v>98.2247972491959</v>
      </c>
      <c r="G101" s="2" t="n">
        <v>95.8732600141671</v>
      </c>
      <c r="H101" s="2" t="n">
        <v>96.0970060389877</v>
      </c>
      <c r="J101" s="2" t="n">
        <v>95.0291277021744</v>
      </c>
      <c r="K101" s="2" t="n">
        <v>95.0692294289117</v>
      </c>
      <c r="L101" s="2" t="n">
        <v>94.7685365768918</v>
      </c>
      <c r="M101" s="2" t="n">
        <v>95.0154632636584</v>
      </c>
    </row>
    <row r="102" customFormat="false" ht="15" hidden="false" customHeight="false" outlineLevel="0" collapsed="false">
      <c r="A102" s="3" t="n">
        <v>41395</v>
      </c>
      <c r="B102" s="2" t="n">
        <v>95.5613721031084</v>
      </c>
      <c r="C102" s="2" t="n">
        <v>94.9860476123274</v>
      </c>
      <c r="D102" s="2" t="n">
        <v>96.2135158168416</v>
      </c>
      <c r="E102" s="2" t="n">
        <v>95.7858345051625</v>
      </c>
      <c r="F102" s="2" t="n">
        <v>97.6422219389798</v>
      </c>
      <c r="G102" s="2" t="n">
        <v>95.8632800661962</v>
      </c>
      <c r="H102" s="2" t="n">
        <v>96.0212741432635</v>
      </c>
      <c r="J102" s="2" t="n">
        <v>95.0020468697538</v>
      </c>
      <c r="K102" s="2" t="n">
        <v>95.3504624591196</v>
      </c>
      <c r="L102" s="2" t="n">
        <v>94.9526105714243</v>
      </c>
      <c r="M102" s="2" t="n">
        <v>94.487672094133</v>
      </c>
    </row>
    <row r="103" customFormat="false" ht="15" hidden="false" customHeight="false" outlineLevel="0" collapsed="false">
      <c r="A103" s="3" t="n">
        <v>41426</v>
      </c>
      <c r="B103" s="2" t="n">
        <v>95.4230089229954</v>
      </c>
      <c r="C103" s="2" t="n">
        <v>94.9785949992138</v>
      </c>
      <c r="D103" s="2" t="n">
        <v>95.9191984341407</v>
      </c>
      <c r="E103" s="2" t="n">
        <v>95.7136243210213</v>
      </c>
      <c r="F103" s="2" t="n">
        <v>96.9238733829094</v>
      </c>
      <c r="G103" s="2" t="n">
        <v>95.4099412087864</v>
      </c>
      <c r="H103" s="2" t="n">
        <v>95.6107922081145</v>
      </c>
      <c r="J103" s="2" t="n">
        <v>94.9778389604548</v>
      </c>
      <c r="K103" s="2" t="n">
        <v>95.1640424453623</v>
      </c>
      <c r="L103" s="2" t="n">
        <v>95.0290623175607</v>
      </c>
      <c r="M103" s="2" t="n">
        <v>94.6648254468065</v>
      </c>
    </row>
    <row r="104" customFormat="false" ht="15" hidden="false" customHeight="false" outlineLevel="0" collapsed="false">
      <c r="A104" s="3" t="n">
        <v>41456</v>
      </c>
      <c r="B104" s="2" t="n">
        <v>95.4052026704532</v>
      </c>
      <c r="C104" s="2" t="n">
        <v>95.115820060746</v>
      </c>
      <c r="D104" s="2" t="n">
        <v>95.7166517201021</v>
      </c>
      <c r="E104" s="2" t="n">
        <v>95.4168904006321</v>
      </c>
      <c r="F104" s="2" t="n">
        <v>96.6357518599692</v>
      </c>
      <c r="G104" s="2" t="n">
        <v>95.7932693706588</v>
      </c>
      <c r="H104" s="2" t="n">
        <v>95.5686262878282</v>
      </c>
      <c r="J104" s="2" t="n">
        <v>95.3713193086454</v>
      </c>
      <c r="K104" s="2" t="n">
        <v>94.8969155730259</v>
      </c>
      <c r="L104" s="2" t="n">
        <v>95.3521023076148</v>
      </c>
      <c r="M104" s="2" t="n">
        <v>94.3772970608627</v>
      </c>
    </row>
    <row r="105" customFormat="false" ht="15" hidden="false" customHeight="false" outlineLevel="0" collapsed="false">
      <c r="A105" s="3" t="n">
        <v>41487</v>
      </c>
      <c r="B105" s="2" t="n">
        <v>95.570817462635</v>
      </c>
      <c r="C105" s="2" t="n">
        <v>95.1910424626239</v>
      </c>
      <c r="D105" s="2" t="n">
        <v>95.9899267403645</v>
      </c>
      <c r="E105" s="2" t="n">
        <v>95.7051944086745</v>
      </c>
      <c r="F105" s="2" t="n">
        <v>96.5569322605471</v>
      </c>
      <c r="G105" s="2" t="n">
        <v>96.053387350522</v>
      </c>
      <c r="H105" s="2" t="n">
        <v>96.1453222249563</v>
      </c>
      <c r="J105" s="2" t="n">
        <v>95.3119162084524</v>
      </c>
      <c r="K105" s="2" t="n">
        <v>95.14976921702</v>
      </c>
      <c r="L105" s="2" t="n">
        <v>94.9628201025354</v>
      </c>
      <c r="M105" s="2" t="n">
        <v>94.8836391070516</v>
      </c>
    </row>
    <row r="106" customFormat="false" ht="15" hidden="false" customHeight="false" outlineLevel="0" collapsed="false">
      <c r="A106" s="3" t="n">
        <v>41518</v>
      </c>
      <c r="B106" s="2" t="n">
        <v>96.1135456896929</v>
      </c>
      <c r="C106" s="2" t="n">
        <v>96.0156414231683</v>
      </c>
      <c r="D106" s="2" t="n">
        <v>96.1965671038237</v>
      </c>
      <c r="E106" s="2" t="n">
        <v>95.8849779265046</v>
      </c>
      <c r="F106" s="2" t="n">
        <v>96.7210249817492</v>
      </c>
      <c r="G106" s="2" t="n">
        <v>96.4226436774097</v>
      </c>
      <c r="H106" s="2" t="n">
        <v>96.4163297998008</v>
      </c>
      <c r="J106" s="2" t="n">
        <v>95.9554181798954</v>
      </c>
      <c r="K106" s="2" t="n">
        <v>96.2233197592642</v>
      </c>
      <c r="L106" s="2" t="n">
        <v>96.5485206745309</v>
      </c>
      <c r="M106" s="2" t="n">
        <v>95.6207089610215</v>
      </c>
    </row>
    <row r="107" customFormat="false" ht="15" hidden="false" customHeight="false" outlineLevel="0" collapsed="false">
      <c r="A107" s="3" t="n">
        <v>41548</v>
      </c>
      <c r="B107" s="2" t="n">
        <v>96.5059505025932</v>
      </c>
      <c r="C107" s="2" t="n">
        <v>96.4752460727255</v>
      </c>
      <c r="D107" s="2" t="n">
        <v>96.5087542805275</v>
      </c>
      <c r="E107" s="2" t="n">
        <v>96.3549801081445</v>
      </c>
      <c r="F107" s="2" t="n">
        <v>96.5892966070612</v>
      </c>
      <c r="G107" s="2" t="n">
        <v>96.8871727715413</v>
      </c>
      <c r="H107" s="2" t="n">
        <v>96.7093101187171</v>
      </c>
      <c r="J107" s="2" t="n">
        <v>96.4791169886388</v>
      </c>
      <c r="K107" s="2" t="n">
        <v>96.4250290425163</v>
      </c>
      <c r="L107" s="2" t="n">
        <v>97.1990088916844</v>
      </c>
      <c r="M107" s="2" t="n">
        <v>96.0595827835248</v>
      </c>
    </row>
    <row r="108" customFormat="false" ht="15" hidden="false" customHeight="false" outlineLevel="0" collapsed="false">
      <c r="A108" s="3" t="n">
        <v>41579</v>
      </c>
      <c r="B108" s="2" t="n">
        <v>96.8863659830824</v>
      </c>
      <c r="C108" s="2" t="n">
        <v>96.7162404395024</v>
      </c>
      <c r="D108" s="2" t="n">
        <v>97.0551810155125</v>
      </c>
      <c r="E108" s="2" t="n">
        <v>96.9285448149416</v>
      </c>
      <c r="F108" s="2" t="n">
        <v>96.8515870881272</v>
      </c>
      <c r="G108" s="2" t="n">
        <v>96.906096534206</v>
      </c>
      <c r="H108" s="2" t="n">
        <v>97.6056067216251</v>
      </c>
      <c r="J108" s="2" t="n">
        <v>96.7785797679324</v>
      </c>
      <c r="K108" s="2" t="n">
        <v>96.780266951769</v>
      </c>
      <c r="L108" s="2" t="n">
        <v>97.4263698522692</v>
      </c>
      <c r="M108" s="2" t="n">
        <v>96.0265400392139</v>
      </c>
    </row>
    <row r="109" customFormat="false" ht="15" hidden="false" customHeight="false" outlineLevel="0" collapsed="false">
      <c r="A109" s="3" t="n">
        <v>41609</v>
      </c>
      <c r="B109" s="2" t="n">
        <v>97.0835264778551</v>
      </c>
      <c r="C109" s="2" t="n">
        <v>96.7660507763446</v>
      </c>
      <c r="D109" s="2" t="n">
        <v>97.4278657518821</v>
      </c>
      <c r="E109" s="2" t="n">
        <v>97.4173072984887</v>
      </c>
      <c r="F109" s="2" t="n">
        <v>96.9598048986668</v>
      </c>
      <c r="G109" s="2" t="n">
        <v>96.9706946966346</v>
      </c>
      <c r="H109" s="2" t="n">
        <v>98.0211143218428</v>
      </c>
      <c r="J109" s="2" t="n">
        <v>96.8289520991053</v>
      </c>
      <c r="K109" s="2" t="n">
        <v>96.8873736583549</v>
      </c>
      <c r="L109" s="2" t="n">
        <v>96.9903744586592</v>
      </c>
      <c r="M109" s="2" t="n">
        <v>96.2484521976507</v>
      </c>
    </row>
    <row r="110" customFormat="false" ht="15" hidden="false" customHeight="false" outlineLevel="0" collapsed="false">
      <c r="A110" s="3" t="n">
        <v>41640</v>
      </c>
      <c r="B110" s="2" t="n">
        <v>97.7841876295295</v>
      </c>
      <c r="C110" s="2" t="n">
        <v>97.3822349322259</v>
      </c>
      <c r="D110" s="2" t="n">
        <v>98.2289505983029</v>
      </c>
      <c r="E110" s="2" t="n">
        <v>97.9925911511369</v>
      </c>
      <c r="F110" s="2" t="n">
        <v>97.8851181764371</v>
      </c>
      <c r="G110" s="2" t="n">
        <v>97.7991616700699</v>
      </c>
      <c r="H110" s="2" t="n">
        <v>99.272251170726</v>
      </c>
      <c r="J110" s="2" t="n">
        <v>97.6917250456856</v>
      </c>
      <c r="K110" s="2" t="n">
        <v>97.3456451766489</v>
      </c>
      <c r="L110" s="2" t="n">
        <v>97.6445779388966</v>
      </c>
      <c r="M110" s="2" t="n">
        <v>96.2943139046177</v>
      </c>
    </row>
    <row r="111" customFormat="false" ht="15" hidden="false" customHeight="false" outlineLevel="0" collapsed="false">
      <c r="A111" s="3" t="n">
        <v>41671</v>
      </c>
      <c r="B111" s="2" t="n">
        <v>97.8916559567775</v>
      </c>
      <c r="C111" s="2" t="n">
        <v>97.5554834921628</v>
      </c>
      <c r="D111" s="2" t="n">
        <v>98.2579927473849</v>
      </c>
      <c r="E111" s="2" t="n">
        <v>97.6443814312304</v>
      </c>
      <c r="F111" s="2" t="n">
        <v>97.9975868698448</v>
      </c>
      <c r="G111" s="2" t="n">
        <v>98.4394483814766</v>
      </c>
      <c r="H111" s="2" t="n">
        <v>100.015681023184</v>
      </c>
      <c r="J111" s="2" t="n">
        <v>97.745496247822</v>
      </c>
      <c r="K111" s="2" t="n">
        <v>97.4199859811868</v>
      </c>
      <c r="L111" s="2" t="n">
        <v>97.8586892049911</v>
      </c>
      <c r="M111" s="2" t="n">
        <v>96.8880715326748</v>
      </c>
    </row>
    <row r="112" customFormat="false" ht="15" hidden="false" customHeight="false" outlineLevel="0" collapsed="false">
      <c r="A112" s="3" t="n">
        <v>41699</v>
      </c>
      <c r="B112" s="2" t="n">
        <v>98.5732580355893</v>
      </c>
      <c r="C112" s="2" t="n">
        <v>98.0192476635861</v>
      </c>
      <c r="D112" s="2" t="n">
        <v>99.1989478461596</v>
      </c>
      <c r="E112" s="2" t="n">
        <v>98.8324170451541</v>
      </c>
      <c r="F112" s="2" t="n">
        <v>98.8711027079591</v>
      </c>
      <c r="G112" s="2" t="n">
        <v>98.9311496005202</v>
      </c>
      <c r="H112" s="2" t="n">
        <v>100.514515691574</v>
      </c>
      <c r="J112" s="2" t="n">
        <v>98.2190945805426</v>
      </c>
      <c r="K112" s="2" t="n">
        <v>97.9189472050279</v>
      </c>
      <c r="L112" s="2" t="n">
        <v>98.0829921203173</v>
      </c>
      <c r="M112" s="2" t="n">
        <v>97.4019025972187</v>
      </c>
    </row>
    <row r="113" customFormat="false" ht="15" hidden="false" customHeight="false" outlineLevel="0" collapsed="false">
      <c r="A113" s="3" t="n">
        <v>41730</v>
      </c>
      <c r="B113" s="2" t="n">
        <v>98.8645182550165</v>
      </c>
      <c r="C113" s="2" t="n">
        <v>98.3811143141579</v>
      </c>
      <c r="D113" s="2" t="n">
        <v>99.4059662911248</v>
      </c>
      <c r="E113" s="2" t="n">
        <v>98.8667460660727</v>
      </c>
      <c r="F113" s="2" t="n">
        <v>99.6241509771228</v>
      </c>
      <c r="G113" s="2" t="n">
        <v>98.861424654572</v>
      </c>
      <c r="H113" s="2" t="n">
        <v>100.715127642598</v>
      </c>
      <c r="J113" s="2" t="n">
        <v>98.4914626818311</v>
      </c>
      <c r="K113" s="2" t="n">
        <v>98.1625368693961</v>
      </c>
      <c r="L113" s="2" t="n">
        <v>98.7018048590042</v>
      </c>
      <c r="M113" s="2" t="n">
        <v>98.014771426594</v>
      </c>
    </row>
    <row r="114" customFormat="false" ht="15" hidden="false" customHeight="false" outlineLevel="0" collapsed="false">
      <c r="A114" s="3" t="n">
        <v>41760</v>
      </c>
      <c r="B114" s="2" t="n">
        <v>98.8238612066439</v>
      </c>
      <c r="C114" s="2" t="n">
        <v>98.195356541487</v>
      </c>
      <c r="D114" s="2" t="n">
        <v>99.5382361519203</v>
      </c>
      <c r="E114" s="2" t="n">
        <v>99.2741786423735</v>
      </c>
      <c r="F114" s="2" t="n">
        <v>99.6588910178546</v>
      </c>
      <c r="G114" s="2" t="n">
        <v>98.7765850416355</v>
      </c>
      <c r="H114" s="2" t="n">
        <v>100.298091136054</v>
      </c>
      <c r="J114" s="2" t="n">
        <v>98.2833495679179</v>
      </c>
      <c r="K114" s="2" t="n">
        <v>98.3448023388842</v>
      </c>
      <c r="L114" s="2" t="n">
        <v>98.5211460649702</v>
      </c>
      <c r="M114" s="2" t="n">
        <v>97.5283671260118</v>
      </c>
    </row>
    <row r="115" customFormat="false" ht="15" hidden="false" customHeight="false" outlineLevel="0" collapsed="false">
      <c r="A115" s="3" t="n">
        <v>41791</v>
      </c>
      <c r="B115" s="2" t="n">
        <v>98.9266984650289</v>
      </c>
      <c r="C115" s="2" t="n">
        <v>98.5086841089008</v>
      </c>
      <c r="D115" s="2" t="n">
        <v>99.3902017027247</v>
      </c>
      <c r="E115" s="2" t="n">
        <v>99.3736604494469</v>
      </c>
      <c r="F115" s="2" t="n">
        <v>98.8215116082023</v>
      </c>
      <c r="G115" s="2" t="n">
        <v>98.6553047833385</v>
      </c>
      <c r="H115" s="2" t="n">
        <v>100.172248354397</v>
      </c>
      <c r="J115" s="2" t="n">
        <v>98.7891121007096</v>
      </c>
      <c r="K115" s="2" t="n">
        <v>98.1356904771283</v>
      </c>
      <c r="L115" s="2" t="n">
        <v>98.709424182523</v>
      </c>
      <c r="M115" s="2" t="n">
        <v>97.8634075937028</v>
      </c>
    </row>
    <row r="116" customFormat="false" ht="15" hidden="false" customHeight="false" outlineLevel="0" collapsed="false">
      <c r="A116" s="3" t="n">
        <v>41821</v>
      </c>
      <c r="B116" s="2" t="n">
        <v>99.3257366236039</v>
      </c>
      <c r="C116" s="2" t="n">
        <v>98.9238710391325</v>
      </c>
      <c r="D116" s="2" t="n">
        <v>99.7698560997349</v>
      </c>
      <c r="E116" s="2" t="n">
        <v>99.8795342192458</v>
      </c>
      <c r="F116" s="2" t="n">
        <v>98.8734223796695</v>
      </c>
      <c r="G116" s="2" t="n">
        <v>98.7418276819555</v>
      </c>
      <c r="H116" s="2" t="n">
        <v>100.625438558363</v>
      </c>
      <c r="J116" s="2" t="n">
        <v>99.3579828610005</v>
      </c>
      <c r="K116" s="2" t="n">
        <v>98.3679144720387</v>
      </c>
      <c r="L116" s="2" t="n">
        <v>99.175693158127</v>
      </c>
      <c r="M116" s="2" t="n">
        <v>97.993422235937</v>
      </c>
    </row>
    <row r="117" customFormat="false" ht="15" hidden="false" customHeight="false" outlineLevel="0" collapsed="false">
      <c r="A117" s="3" t="n">
        <v>41852</v>
      </c>
      <c r="B117" s="2" t="n">
        <v>99.5337502894563</v>
      </c>
      <c r="C117" s="2" t="n">
        <v>99.2170169033019</v>
      </c>
      <c r="D117" s="2" t="n">
        <v>99.8763471644531</v>
      </c>
      <c r="E117" s="2" t="n">
        <v>99.9106487660953</v>
      </c>
      <c r="F117" s="2" t="n">
        <v>99.0914170336157</v>
      </c>
      <c r="G117" s="2" t="n">
        <v>99.1403487410737</v>
      </c>
      <c r="H117" s="2" t="n">
        <v>100.736424908812</v>
      </c>
      <c r="J117" s="2" t="n">
        <v>99.5082005475166</v>
      </c>
      <c r="K117" s="2" t="n">
        <v>98.4794477660698</v>
      </c>
      <c r="L117" s="2" t="n">
        <v>99.2398003646052</v>
      </c>
      <c r="M117" s="2" t="n">
        <v>98.9835687627888</v>
      </c>
    </row>
    <row r="118" customFormat="false" ht="15" hidden="false" customHeight="false" outlineLevel="0" collapsed="false">
      <c r="A118" s="3" t="n">
        <v>41883</v>
      </c>
      <c r="B118" s="2" t="n">
        <v>100.143617696456</v>
      </c>
      <c r="C118" s="2" t="n">
        <v>99.9459984760611</v>
      </c>
      <c r="D118" s="2" t="n">
        <v>100.344055877729</v>
      </c>
      <c r="E118" s="2" t="n">
        <v>100.727608389793</v>
      </c>
      <c r="F118" s="2" t="n">
        <v>99.5726096277293</v>
      </c>
      <c r="G118" s="2" t="n">
        <v>99.3951455432447</v>
      </c>
      <c r="H118" s="2" t="n">
        <v>100.357651292521</v>
      </c>
      <c r="J118" s="2" t="n">
        <v>100.28389063925</v>
      </c>
      <c r="K118" s="2" t="n">
        <v>98.9759247101674</v>
      </c>
      <c r="L118" s="2" t="n">
        <v>99.8018142528928</v>
      </c>
      <c r="M118" s="2" t="n">
        <v>99.8859343187428</v>
      </c>
    </row>
    <row r="119" customFormat="false" ht="15" hidden="false" customHeight="false" outlineLevel="0" collapsed="false">
      <c r="A119" s="3" t="n">
        <v>41913</v>
      </c>
      <c r="B119" s="2" t="n">
        <v>100.346706871878</v>
      </c>
      <c r="C119" s="2" t="n">
        <v>100.272944309737</v>
      </c>
      <c r="D119" s="2" t="n">
        <v>100.399477266665</v>
      </c>
      <c r="E119" s="2" t="n">
        <v>100.680823466163</v>
      </c>
      <c r="F119" s="2" t="n">
        <v>99.6047539742009</v>
      </c>
      <c r="G119" s="2" t="n">
        <v>99.7308516044846</v>
      </c>
      <c r="H119" s="2" t="n">
        <v>100.618863370461</v>
      </c>
      <c r="J119" s="2" t="n">
        <v>100.436123632405</v>
      </c>
      <c r="K119" s="2" t="n">
        <v>99.3978513835821</v>
      </c>
      <c r="L119" s="2" t="n">
        <v>99.9158452673746</v>
      </c>
      <c r="M119" s="2" t="n">
        <v>100.720869400006</v>
      </c>
    </row>
    <row r="120" customFormat="false" ht="15" hidden="false" customHeight="false" outlineLevel="0" collapsed="false">
      <c r="A120" s="3" t="n">
        <v>41944</v>
      </c>
      <c r="B120" s="2" t="n">
        <v>100.528566297396</v>
      </c>
      <c r="C120" s="2" t="n">
        <v>100.480439944357</v>
      </c>
      <c r="D120" s="2" t="n">
        <v>100.550723036002</v>
      </c>
      <c r="E120" s="2" t="n">
        <v>100.548433848081</v>
      </c>
      <c r="F120" s="2" t="n">
        <v>100.210916287467</v>
      </c>
      <c r="G120" s="2" t="n">
        <v>100.180891110948</v>
      </c>
      <c r="H120" s="2" t="n">
        <v>100.975085266945</v>
      </c>
      <c r="J120" s="2" t="n">
        <v>100.584732459185</v>
      </c>
      <c r="K120" s="2" t="n">
        <v>100.20550519416</v>
      </c>
      <c r="L120" s="2" t="n">
        <v>100.323992290867</v>
      </c>
      <c r="M120" s="2" t="n">
        <v>100.410675512176</v>
      </c>
    </row>
    <row r="121" customFormat="false" ht="15" hidden="false" customHeight="false" outlineLevel="0" collapsed="false">
      <c r="A121" s="3" t="n">
        <v>41974</v>
      </c>
      <c r="B121" s="2" t="n">
        <v>100.643926187737</v>
      </c>
      <c r="C121" s="2" t="n">
        <v>100.52129429617</v>
      </c>
      <c r="D121" s="2" t="n">
        <v>100.754828809317</v>
      </c>
      <c r="E121" s="2" t="n">
        <v>100.732427502587</v>
      </c>
      <c r="F121" s="2" t="n">
        <v>100.808077784248</v>
      </c>
      <c r="G121" s="2" t="n">
        <v>100.595622288303</v>
      </c>
      <c r="H121" s="2" t="n">
        <v>100.794579170659</v>
      </c>
      <c r="J121" s="2" t="n">
        <v>100.598491442376</v>
      </c>
      <c r="K121" s="2" t="n">
        <v>100.083652158746</v>
      </c>
      <c r="L121" s="2" t="n">
        <v>100.456958771502</v>
      </c>
      <c r="M121" s="2" t="n">
        <v>100.645825359719</v>
      </c>
    </row>
    <row r="122" customFormat="false" ht="15" hidden="false" customHeight="false" outlineLevel="0" collapsed="false">
      <c r="A122" s="3" t="n">
        <v>42005</v>
      </c>
      <c r="B122" s="2" t="n">
        <v>101.238093184276</v>
      </c>
      <c r="C122" s="2" t="n">
        <v>101.087558875458</v>
      </c>
      <c r="D122" s="2" t="n">
        <v>101.3742294629</v>
      </c>
      <c r="E122" s="2" t="n">
        <v>101.256502614737</v>
      </c>
      <c r="F122" s="2" t="n">
        <v>101.488239971918</v>
      </c>
      <c r="G122" s="2" t="n">
        <v>100.973571089556</v>
      </c>
      <c r="H122" s="2" t="n">
        <v>101.939750981277</v>
      </c>
      <c r="I122" s="2" t="n">
        <v>101.186048417606</v>
      </c>
      <c r="J122" s="2" t="n">
        <v>101.003729519276</v>
      </c>
      <c r="K122" s="2" t="n">
        <v>101.208290350907</v>
      </c>
      <c r="L122" s="2" t="n">
        <v>101.503130290946</v>
      </c>
      <c r="M122" s="2" t="n">
        <v>101.030194926463</v>
      </c>
    </row>
    <row r="123" customFormat="false" ht="15" hidden="false" customHeight="false" outlineLevel="0" collapsed="false">
      <c r="A123" s="3" t="n">
        <v>42036</v>
      </c>
      <c r="B123" s="2" t="n">
        <v>101.858065813691</v>
      </c>
      <c r="C123" s="2" t="n">
        <v>101.687071152307</v>
      </c>
      <c r="D123" s="2" t="n">
        <v>102.012705490507</v>
      </c>
      <c r="E123" s="2" t="n">
        <v>101.683606272993</v>
      </c>
      <c r="F123" s="2" t="n">
        <v>102.124602485803</v>
      </c>
      <c r="G123" s="2" t="n">
        <v>101.773204383851</v>
      </c>
      <c r="H123" s="2" t="n">
        <v>102.687118768187</v>
      </c>
      <c r="I123" s="2" t="n">
        <v>103.092753873266</v>
      </c>
      <c r="J123" s="2" t="n">
        <v>101.66005752579</v>
      </c>
      <c r="K123" s="2" t="n">
        <v>101.741362190975</v>
      </c>
      <c r="L123" s="2" t="n">
        <v>101.941508678838</v>
      </c>
      <c r="M123" s="2" t="n">
        <v>101.563710916118</v>
      </c>
    </row>
    <row r="124" customFormat="false" ht="15" hidden="false" customHeight="false" outlineLevel="0" collapsed="false">
      <c r="A124" s="3" t="n">
        <v>42064</v>
      </c>
      <c r="B124" s="2" t="n">
        <v>102.279947496732</v>
      </c>
      <c r="C124" s="2" t="n">
        <v>101.847681937052</v>
      </c>
      <c r="D124" s="2" t="n">
        <v>102.670868510914</v>
      </c>
      <c r="E124" s="2" t="n">
        <v>102.361284815549</v>
      </c>
      <c r="F124" s="2" t="n">
        <v>102.81956781127</v>
      </c>
      <c r="G124" s="2" t="n">
        <v>102.526824750189</v>
      </c>
      <c r="H124" s="2" t="n">
        <v>103.214534680028</v>
      </c>
      <c r="I124" s="2" t="n">
        <v>103.795264350457</v>
      </c>
      <c r="J124" s="2" t="n">
        <v>101.783324039921</v>
      </c>
      <c r="K124" s="2" t="n">
        <v>101.969899366623</v>
      </c>
      <c r="L124" s="2" t="n">
        <v>102.290329547112</v>
      </c>
      <c r="M124" s="2" t="n">
        <v>101.683024290636</v>
      </c>
    </row>
    <row r="125" customFormat="false" ht="15" hidden="false" customHeight="false" outlineLevel="0" collapsed="false">
      <c r="A125" s="3" t="n">
        <v>42095</v>
      </c>
      <c r="B125" s="2" t="n">
        <v>103.136275634797</v>
      </c>
      <c r="C125" s="2" t="n">
        <v>102.669227183356</v>
      </c>
      <c r="D125" s="2" t="n">
        <v>103.558652690338</v>
      </c>
      <c r="E125" s="2" t="n">
        <v>103.417081469912</v>
      </c>
      <c r="F125" s="2" t="n">
        <v>103.671321397609</v>
      </c>
      <c r="G125" s="2" t="n">
        <v>103.120548368617</v>
      </c>
      <c r="H125" s="2" t="n">
        <v>103.813005924879</v>
      </c>
      <c r="I125" s="2" t="n">
        <v>104.437858839391</v>
      </c>
      <c r="J125" s="2" t="n">
        <v>102.709982450222</v>
      </c>
      <c r="K125" s="2" t="n">
        <v>102.705206181794</v>
      </c>
      <c r="L125" s="2" t="n">
        <v>102.832872472738</v>
      </c>
      <c r="M125" s="2" t="n">
        <v>102.333316997085</v>
      </c>
    </row>
    <row r="126" customFormat="false" ht="15" hidden="false" customHeight="false" outlineLevel="0" collapsed="false">
      <c r="A126" s="3" t="n">
        <v>42125</v>
      </c>
      <c r="B126" s="2" t="n">
        <v>103.31885533217</v>
      </c>
      <c r="C126" s="2" t="n">
        <v>102.874963626918</v>
      </c>
      <c r="D126" s="2" t="n">
        <v>103.720290495621</v>
      </c>
      <c r="E126" s="2" t="n">
        <v>103.617930653597</v>
      </c>
      <c r="F126" s="2" t="n">
        <v>103.929896872761</v>
      </c>
      <c r="G126" s="2" t="n">
        <v>103.368900207927</v>
      </c>
      <c r="H126" s="2" t="n">
        <v>103.790043888544</v>
      </c>
      <c r="I126" s="2" t="n">
        <v>104.578500444314</v>
      </c>
      <c r="J126" s="2" t="n">
        <v>102.821286960141</v>
      </c>
      <c r="K126" s="2" t="n">
        <v>103.092913658172</v>
      </c>
      <c r="L126" s="2" t="n">
        <v>103.101615578799</v>
      </c>
      <c r="M126" s="2" t="n">
        <v>102.734165121692</v>
      </c>
    </row>
    <row r="127" customFormat="false" ht="15" hidden="false" customHeight="false" outlineLevel="0" collapsed="false">
      <c r="A127" s="3" t="n">
        <v>42156</v>
      </c>
      <c r="B127" s="2" t="n">
        <v>103.73993026801</v>
      </c>
      <c r="C127" s="2" t="n">
        <v>103.321057473226</v>
      </c>
      <c r="D127" s="2" t="n">
        <v>104.118739483972</v>
      </c>
      <c r="E127" s="2" t="n">
        <v>104.122110104977</v>
      </c>
      <c r="F127" s="2" t="n">
        <v>103.999555044947</v>
      </c>
      <c r="G127" s="2" t="n">
        <v>103.578061312192</v>
      </c>
      <c r="H127" s="2" t="n">
        <v>104.080617807072</v>
      </c>
      <c r="I127" s="2" t="n">
        <v>104.917612281489</v>
      </c>
      <c r="J127" s="2" t="n">
        <v>103.270123026129</v>
      </c>
      <c r="K127" s="2" t="n">
        <v>103.037775436908</v>
      </c>
      <c r="L127" s="2" t="n">
        <v>103.287613768936</v>
      </c>
      <c r="M127" s="2" t="n">
        <v>103.839138045609</v>
      </c>
    </row>
    <row r="128" customFormat="false" ht="15" hidden="false" customHeight="false" outlineLevel="0" collapsed="false">
      <c r="A128" s="3" t="n">
        <v>42186</v>
      </c>
      <c r="B128" s="2" t="n">
        <v>103.657455089685</v>
      </c>
      <c r="C128" s="2" t="n">
        <v>103.134344545464</v>
      </c>
      <c r="D128" s="2" t="n">
        <v>104.130532113513</v>
      </c>
      <c r="E128" s="2" t="n">
        <v>104.049016118208</v>
      </c>
      <c r="F128" s="2" t="n">
        <v>104.323972347197</v>
      </c>
      <c r="G128" s="2" t="n">
        <v>103.918964151518</v>
      </c>
      <c r="H128" s="2" t="n">
        <v>104.120499914648</v>
      </c>
      <c r="I128" s="2" t="n">
        <v>104.886052502292</v>
      </c>
      <c r="J128" s="2" t="n">
        <v>103.112537767721</v>
      </c>
      <c r="K128" s="2" t="n">
        <v>102.672103689791</v>
      </c>
      <c r="L128" s="2" t="n">
        <v>103.565294320053</v>
      </c>
      <c r="M128" s="2" t="n">
        <v>103.346584593785</v>
      </c>
    </row>
    <row r="129" customFormat="false" ht="15" hidden="false" customHeight="false" outlineLevel="0" collapsed="false">
      <c r="A129" s="3" t="n">
        <v>42217</v>
      </c>
      <c r="B129" s="2" t="n">
        <v>103.656098306969</v>
      </c>
      <c r="C129" s="2" t="n">
        <v>103.274522162636</v>
      </c>
      <c r="D129" s="2" t="n">
        <v>104.001178154276</v>
      </c>
      <c r="E129" s="2" t="n">
        <v>103.879659280152</v>
      </c>
      <c r="F129" s="2" t="n">
        <v>104.512761343362</v>
      </c>
      <c r="G129" s="2" t="n">
        <v>103.8677164653</v>
      </c>
      <c r="H129" s="2" t="n">
        <v>103.955294298847</v>
      </c>
      <c r="I129" s="2" t="n">
        <v>104.79373663855</v>
      </c>
      <c r="J129" s="2" t="n">
        <v>103.078890866347</v>
      </c>
      <c r="K129" s="2" t="n">
        <v>103.441311813257</v>
      </c>
      <c r="L129" s="2" t="n">
        <v>103.8345994374</v>
      </c>
      <c r="M129" s="2" t="n">
        <v>103.556711806876</v>
      </c>
    </row>
    <row r="130" customFormat="false" ht="15" hidden="false" customHeight="false" outlineLevel="0" collapsed="false">
      <c r="A130" s="3" t="n">
        <v>42248</v>
      </c>
      <c r="B130" s="2" t="n">
        <v>103.93019277185</v>
      </c>
      <c r="C130" s="2" t="n">
        <v>103.621444450383</v>
      </c>
      <c r="D130" s="2" t="n">
        <v>104.209410498667</v>
      </c>
      <c r="E130" s="2" t="n">
        <v>104.209732478276</v>
      </c>
      <c r="F130" s="2" t="n">
        <v>104.846213605059</v>
      </c>
      <c r="G130" s="2" t="n">
        <v>103.836307778928</v>
      </c>
      <c r="H130" s="2" t="n">
        <v>103.877014184869</v>
      </c>
      <c r="I130" s="2" t="n">
        <v>104.915963979803</v>
      </c>
      <c r="J130" s="2" t="n">
        <v>103.560662284782</v>
      </c>
      <c r="K130" s="2" t="n">
        <v>103.551591417387</v>
      </c>
      <c r="L130" s="2" t="n">
        <v>103.652536317818</v>
      </c>
      <c r="M130" s="2" t="n">
        <v>103.931740612055</v>
      </c>
    </row>
    <row r="131" customFormat="false" ht="15" hidden="false" customHeight="false" outlineLevel="0" collapsed="false">
      <c r="A131" s="3" t="n">
        <v>42278</v>
      </c>
      <c r="B131" s="2" t="n">
        <v>103.836155081974</v>
      </c>
      <c r="C131" s="2" t="n">
        <v>103.590265839329</v>
      </c>
      <c r="D131" s="2" t="n">
        <v>104.05852596015</v>
      </c>
      <c r="E131" s="2" t="n">
        <v>104.029747163465</v>
      </c>
      <c r="F131" s="2" t="n">
        <v>104.760522204205</v>
      </c>
      <c r="G131" s="2" t="n">
        <v>103.575719632768</v>
      </c>
      <c r="H131" s="2" t="n">
        <v>103.861458686967</v>
      </c>
      <c r="I131" s="2" t="n">
        <v>104.707771144456</v>
      </c>
      <c r="J131" s="2" t="n">
        <v>103.456661006907</v>
      </c>
      <c r="K131" s="2" t="n">
        <v>103.579292541349</v>
      </c>
      <c r="L131" s="2" t="n">
        <v>103.92406493262</v>
      </c>
      <c r="M131" s="2" t="n">
        <v>103.938088934518</v>
      </c>
    </row>
    <row r="132" customFormat="false" ht="15" hidden="false" customHeight="false" outlineLevel="0" collapsed="false">
      <c r="A132" s="3" t="n">
        <v>42309</v>
      </c>
      <c r="B132" s="2" t="n">
        <v>103.947684766464</v>
      </c>
      <c r="C132" s="2" t="n">
        <v>103.827393705862</v>
      </c>
      <c r="D132" s="2" t="n">
        <v>104.056470447753</v>
      </c>
      <c r="E132" s="2" t="n">
        <v>103.94690750818</v>
      </c>
      <c r="F132" s="2" t="n">
        <v>104.840989935553</v>
      </c>
      <c r="G132" s="2" t="n">
        <v>103.830552635322</v>
      </c>
      <c r="H132" s="2" t="n">
        <v>103.897762987746</v>
      </c>
      <c r="I132" s="2" t="n">
        <v>104.899303288608</v>
      </c>
      <c r="J132" s="2" t="n">
        <v>103.777219221679</v>
      </c>
      <c r="K132" s="2" t="n">
        <v>103.719156660686</v>
      </c>
      <c r="L132" s="2" t="n">
        <v>104.117951401849</v>
      </c>
      <c r="M132" s="2" t="n">
        <v>103.933202199138</v>
      </c>
    </row>
    <row r="133" customFormat="false" ht="15" hidden="false" customHeight="false" outlineLevel="0" collapsed="false">
      <c r="A133" s="3" t="n">
        <v>42339</v>
      </c>
      <c r="B133" s="2" t="n">
        <v>104.045816831999</v>
      </c>
      <c r="C133" s="2" t="n">
        <v>103.966326705967</v>
      </c>
      <c r="D133" s="2" t="n">
        <v>104.117704031869</v>
      </c>
      <c r="E133" s="2" t="n">
        <v>104.051593492618</v>
      </c>
      <c r="F133" s="2" t="n">
        <v>104.74853282684</v>
      </c>
      <c r="G133" s="2" t="n">
        <v>104.100999831458</v>
      </c>
      <c r="H133" s="2" t="n">
        <v>103.838642057767</v>
      </c>
      <c r="I133" s="2" t="n">
        <v>104.830201254447</v>
      </c>
      <c r="J133" s="2" t="n">
        <v>103.822063933704</v>
      </c>
      <c r="K133" s="2" t="n">
        <v>103.663609620858</v>
      </c>
      <c r="L133" s="2" t="n">
        <v>104.771350069058</v>
      </c>
      <c r="M133" s="2" t="n">
        <v>104.285248501065</v>
      </c>
    </row>
    <row r="134" customFormat="false" ht="15" hidden="false" customHeight="false" outlineLevel="0" collapsed="false">
      <c r="A134" s="3" t="n">
        <v>42370</v>
      </c>
      <c r="B134" s="2" t="n">
        <v>104.366441047927</v>
      </c>
      <c r="C134" s="2" t="n">
        <v>104.26851293001</v>
      </c>
      <c r="D134" s="2" t="n">
        <v>104.455002716363</v>
      </c>
      <c r="E134" s="2" t="n">
        <v>104.199753998855</v>
      </c>
      <c r="F134" s="2" t="n">
        <v>105.978639730888</v>
      </c>
      <c r="G134" s="2" t="n">
        <v>104.240909170695</v>
      </c>
      <c r="H134" s="2" t="n">
        <v>104.437071873898</v>
      </c>
      <c r="I134" s="2" t="n">
        <v>105.41430823253</v>
      </c>
      <c r="J134" s="2" t="n">
        <v>104.059956148919</v>
      </c>
      <c r="K134" s="2" t="n">
        <v>104.211727772932</v>
      </c>
      <c r="L134" s="2" t="n">
        <v>104.919597791571</v>
      </c>
      <c r="M134" s="2" t="n">
        <v>104.751758630162</v>
      </c>
    </row>
    <row r="135" customFormat="false" ht="15" hidden="false" customHeight="false" outlineLevel="0" collapsed="false">
      <c r="A135" s="3" t="n">
        <v>42401</v>
      </c>
      <c r="B135" s="2" t="n">
        <v>104.510512262804</v>
      </c>
      <c r="C135" s="2" t="n">
        <v>104.39064900136</v>
      </c>
      <c r="D135" s="2" t="n">
        <v>104.618911062286</v>
      </c>
      <c r="E135" s="2" t="n">
        <v>104.327276529556</v>
      </c>
      <c r="F135" s="2" t="n">
        <v>106.220326560164</v>
      </c>
      <c r="G135" s="2" t="n">
        <v>104.757230597439</v>
      </c>
      <c r="H135" s="2" t="n">
        <v>104.537370040242</v>
      </c>
      <c r="I135" s="2" t="n">
        <v>105.573887778667</v>
      </c>
      <c r="J135" s="2" t="n">
        <v>104.143504048764</v>
      </c>
      <c r="K135" s="2" t="n">
        <v>104.375702197687</v>
      </c>
      <c r="L135" s="2" t="n">
        <v>104.75016952407</v>
      </c>
      <c r="M135" s="2" t="n">
        <v>105.222153478131</v>
      </c>
    </row>
    <row r="136" customFormat="false" ht="15" hidden="false" customHeight="false" outlineLevel="0" collapsed="false">
      <c r="A136" s="3" t="n">
        <v>42430</v>
      </c>
      <c r="B136" s="2" t="n">
        <v>104.653707987237</v>
      </c>
      <c r="C136" s="2" t="n">
        <v>104.44106228285</v>
      </c>
      <c r="D136" s="2" t="n">
        <v>104.846014944289</v>
      </c>
      <c r="E136" s="2" t="n">
        <v>104.747528653784</v>
      </c>
      <c r="F136" s="2" t="n">
        <v>106.483257243898</v>
      </c>
      <c r="G136" s="2" t="n">
        <v>104.858452558454</v>
      </c>
      <c r="H136" s="2" t="n">
        <v>104.299057167587</v>
      </c>
      <c r="I136" s="2" t="n">
        <v>105.559135091103</v>
      </c>
      <c r="J136" s="2" t="n">
        <v>104.173473470964</v>
      </c>
      <c r="K136" s="2" t="n">
        <v>104.443085114739</v>
      </c>
      <c r="L136" s="2" t="n">
        <v>105.238557330501</v>
      </c>
      <c r="M136" s="2" t="n">
        <v>105.018325180874</v>
      </c>
    </row>
    <row r="137" customFormat="false" ht="15" hidden="false" customHeight="false" outlineLevel="0" collapsed="false">
      <c r="A137" s="3" t="n">
        <v>42461</v>
      </c>
      <c r="B137" s="2" t="n">
        <v>104.974551162184</v>
      </c>
      <c r="C137" s="2" t="n">
        <v>104.540568466478</v>
      </c>
      <c r="D137" s="2" t="n">
        <v>105.367025074907</v>
      </c>
      <c r="E137" s="2" t="n">
        <v>105.22246097851</v>
      </c>
      <c r="F137" s="2" t="n">
        <v>106.813897171647</v>
      </c>
      <c r="G137" s="2" t="n">
        <v>105.99984159314</v>
      </c>
      <c r="H137" s="2" t="n">
        <v>104.992954484675</v>
      </c>
      <c r="I137" s="2" t="n">
        <v>105.474443687797</v>
      </c>
      <c r="J137" s="2" t="n">
        <v>104.459662692537</v>
      </c>
      <c r="K137" s="2" t="n">
        <v>104.286213946003</v>
      </c>
      <c r="L137" s="2" t="n">
        <v>105.139239711717</v>
      </c>
      <c r="M137" s="2" t="n">
        <v>104.689542167396</v>
      </c>
    </row>
    <row r="138" customFormat="false" ht="15" hidden="false" customHeight="false" outlineLevel="0" collapsed="false">
      <c r="A138" s="3" t="n">
        <v>42491</v>
      </c>
      <c r="B138" s="2" t="n">
        <v>105.007932603396</v>
      </c>
      <c r="C138" s="2" t="n">
        <v>104.686255704192</v>
      </c>
      <c r="D138" s="2" t="n">
        <v>105.298842338997</v>
      </c>
      <c r="E138" s="2" t="n">
        <v>105.084955003092</v>
      </c>
      <c r="F138" s="2" t="n">
        <v>107.142216303006</v>
      </c>
      <c r="G138" s="2" t="n">
        <v>106.294212854794</v>
      </c>
      <c r="H138" s="2" t="n">
        <v>104.881143627348</v>
      </c>
      <c r="I138" s="2" t="n">
        <v>105.308918276609</v>
      </c>
      <c r="J138" s="2" t="n">
        <v>104.590803824391</v>
      </c>
      <c r="K138" s="2" t="n">
        <v>103.96199276716</v>
      </c>
      <c r="L138" s="2" t="n">
        <v>105.44364841797</v>
      </c>
      <c r="M138" s="2" t="n">
        <v>105.226705238009</v>
      </c>
    </row>
    <row r="139" customFormat="false" ht="15" hidden="false" customHeight="false" outlineLevel="0" collapsed="false">
      <c r="A139" s="3" t="n">
        <v>42522</v>
      </c>
      <c r="B139" s="2" t="n">
        <v>105.384761150658</v>
      </c>
      <c r="C139" s="2" t="n">
        <v>104.932451249477</v>
      </c>
      <c r="D139" s="2" t="n">
        <v>105.793809341834</v>
      </c>
      <c r="E139" s="2" t="n">
        <v>105.772373029076</v>
      </c>
      <c r="F139" s="2" t="n">
        <v>107.220660825708</v>
      </c>
      <c r="G139" s="2" t="n">
        <v>106.400918256387</v>
      </c>
      <c r="H139" s="2" t="n">
        <v>105.159537972664</v>
      </c>
      <c r="I139" s="2" t="n">
        <v>105.628384584549</v>
      </c>
      <c r="J139" s="2" t="n">
        <v>104.959577263148</v>
      </c>
      <c r="K139" s="2" t="n">
        <v>104.246768889559</v>
      </c>
      <c r="L139" s="2" t="n">
        <v>105.425696573467</v>
      </c>
      <c r="M139" s="2" t="n">
        <v>105.095168562253</v>
      </c>
    </row>
    <row r="140" customFormat="false" ht="15" hidden="false" customHeight="false" outlineLevel="0" collapsed="false">
      <c r="A140" s="3" t="n">
        <v>42552</v>
      </c>
      <c r="B140" s="2" t="n">
        <v>105.294970827379</v>
      </c>
      <c r="C140" s="2" t="n">
        <v>104.946638748871</v>
      </c>
      <c r="D140" s="2" t="n">
        <v>105.609986276455</v>
      </c>
      <c r="E140" s="2" t="n">
        <v>105.477176022187</v>
      </c>
      <c r="F140" s="2" t="n">
        <v>106.920654434639</v>
      </c>
      <c r="G140" s="2" t="n">
        <v>106.580389611425</v>
      </c>
      <c r="H140" s="2" t="n">
        <v>105.105314197575</v>
      </c>
      <c r="I140" s="2" t="n">
        <v>105.713019141569</v>
      </c>
      <c r="J140" s="2" t="n">
        <v>105.009447838137</v>
      </c>
      <c r="K140" s="2" t="n">
        <v>104.272574312887</v>
      </c>
      <c r="L140" s="2" t="n">
        <v>105.304213836658</v>
      </c>
      <c r="M140" s="2" t="n">
        <v>105.043045886338</v>
      </c>
    </row>
    <row r="141" customFormat="false" ht="15" hidden="false" customHeight="false" outlineLevel="0" collapsed="false">
      <c r="A141" s="3" t="n">
        <v>42583</v>
      </c>
      <c r="B141" s="2" t="n">
        <v>105.12332203234</v>
      </c>
      <c r="C141" s="2" t="n">
        <v>104.759099118005</v>
      </c>
      <c r="D141" s="2" t="n">
        <v>105.452708419648</v>
      </c>
      <c r="E141" s="2" t="n">
        <v>105.483616176309</v>
      </c>
      <c r="F141" s="2" t="n">
        <v>106.814169289975</v>
      </c>
      <c r="G141" s="2" t="n">
        <v>106.420359581473</v>
      </c>
      <c r="H141" s="2" t="n">
        <v>104.440938370227</v>
      </c>
      <c r="I141" s="2" t="n">
        <v>105.513087692728</v>
      </c>
      <c r="J141" s="2" t="n">
        <v>104.82526079716</v>
      </c>
      <c r="K141" s="2" t="n">
        <v>104.089319532769</v>
      </c>
      <c r="L141" s="2" t="n">
        <v>105.270860550123</v>
      </c>
      <c r="M141" s="2" t="n">
        <v>104.721225682118</v>
      </c>
    </row>
    <row r="142" customFormat="false" ht="15" hidden="false" customHeight="false" outlineLevel="0" collapsed="false">
      <c r="A142" s="3" t="n">
        <v>42614</v>
      </c>
      <c r="B142" s="2" t="n">
        <v>105.283497330793</v>
      </c>
      <c r="C142" s="2" t="n">
        <v>104.916282519766</v>
      </c>
      <c r="D142" s="2" t="n">
        <v>105.615589451331</v>
      </c>
      <c r="E142" s="2" t="n">
        <v>105.646078944084</v>
      </c>
      <c r="F142" s="2" t="n">
        <v>107.195157313021</v>
      </c>
      <c r="G142" s="2" t="n">
        <v>106.417318179905</v>
      </c>
      <c r="H142" s="2" t="n">
        <v>104.604896254881</v>
      </c>
      <c r="I142" s="2" t="n">
        <v>105.659940484124</v>
      </c>
      <c r="J142" s="2" t="n">
        <v>104.841382867814</v>
      </c>
      <c r="K142" s="2" t="n">
        <v>104.135430684508</v>
      </c>
      <c r="L142" s="2" t="n">
        <v>106.246512545219</v>
      </c>
      <c r="M142" s="2" t="n">
        <v>104.991132693489</v>
      </c>
    </row>
    <row r="143" customFormat="false" ht="15" hidden="false" customHeight="false" outlineLevel="0" collapsed="false">
      <c r="A143" s="3" t="n">
        <v>42644</v>
      </c>
      <c r="B143" s="2" t="n">
        <v>105.196903719673</v>
      </c>
      <c r="C143" s="2" t="n">
        <v>104.847330427588</v>
      </c>
      <c r="D143" s="2" t="n">
        <v>105.513041665</v>
      </c>
      <c r="E143" s="2" t="n">
        <v>105.529973811657</v>
      </c>
      <c r="F143" s="2" t="n">
        <v>107.179458786125</v>
      </c>
      <c r="G143" s="2" t="n">
        <v>106.41202660974</v>
      </c>
      <c r="H143" s="2" t="n">
        <v>104.400720594384</v>
      </c>
      <c r="I143" s="2" t="n">
        <v>105.747302980722</v>
      </c>
      <c r="J143" s="2" t="n">
        <v>104.805033947163</v>
      </c>
      <c r="K143" s="2" t="n">
        <v>104.025310610833</v>
      </c>
      <c r="L143" s="2" t="n">
        <v>106.233245585853</v>
      </c>
      <c r="M143" s="2" t="n">
        <v>104.776248438499</v>
      </c>
    </row>
    <row r="144" customFormat="false" ht="15" hidden="false" customHeight="false" outlineLevel="0" collapsed="false">
      <c r="A144" s="3" t="n">
        <v>42675</v>
      </c>
      <c r="B144" s="2" t="n">
        <v>105.044113509139</v>
      </c>
      <c r="C144" s="2" t="n">
        <v>104.781975959224</v>
      </c>
      <c r="D144" s="2" t="n">
        <v>105.281178606216</v>
      </c>
      <c r="E144" s="2" t="n">
        <v>105.190822312336</v>
      </c>
      <c r="F144" s="2" t="n">
        <v>107.570247502395</v>
      </c>
      <c r="G144" s="2" t="n">
        <v>106.30201293967</v>
      </c>
      <c r="H144" s="2" t="n">
        <v>104.153947775218</v>
      </c>
      <c r="I144" s="2" t="n">
        <v>105.714673403761</v>
      </c>
      <c r="J144" s="2" t="n">
        <v>104.781751945782</v>
      </c>
      <c r="K144" s="2" t="n">
        <v>103.89087507042</v>
      </c>
      <c r="L144" s="2" t="n">
        <v>105.853519407102</v>
      </c>
      <c r="M144" s="2" t="n">
        <v>104.826984108459</v>
      </c>
    </row>
    <row r="145" customFormat="false" ht="15" hidden="false" customHeight="false" outlineLevel="0" collapsed="false">
      <c r="A145" s="3" t="n">
        <v>42705</v>
      </c>
      <c r="B145" s="2" t="n">
        <v>105.210912990011</v>
      </c>
      <c r="C145" s="2" t="n">
        <v>104.945188997542</v>
      </c>
      <c r="D145" s="2" t="n">
        <v>105.451221500144</v>
      </c>
      <c r="E145" s="2" t="n">
        <v>105.215676119865</v>
      </c>
      <c r="F145" s="2" t="n">
        <v>107.354246595576</v>
      </c>
      <c r="G145" s="2" t="n">
        <v>106.610433991151</v>
      </c>
      <c r="H145" s="2" t="n">
        <v>104.835938298906</v>
      </c>
      <c r="I145" s="2" t="n">
        <v>105.923038033361</v>
      </c>
      <c r="J145" s="2" t="n">
        <v>104.935051797663</v>
      </c>
      <c r="K145" s="2" t="n">
        <v>103.724037837019</v>
      </c>
      <c r="L145" s="2" t="n">
        <v>105.88035969202</v>
      </c>
      <c r="M145" s="2" t="n">
        <v>105.449442927634</v>
      </c>
    </row>
    <row r="146" customFormat="false" ht="15" hidden="false" customHeight="false" outlineLevel="0" collapsed="false">
      <c r="A146" s="3" t="n">
        <v>42736</v>
      </c>
      <c r="B146" s="2" t="n">
        <v>105.303290776828</v>
      </c>
      <c r="C146" s="2" t="n">
        <v>104.972204523393</v>
      </c>
      <c r="D146" s="2" t="n">
        <v>105.60270989796</v>
      </c>
      <c r="E146" s="2" t="n">
        <v>105.501645748638</v>
      </c>
      <c r="F146" s="2" t="n">
        <v>107.17621714791</v>
      </c>
      <c r="G146" s="2" t="n">
        <v>106.654921839239</v>
      </c>
      <c r="H146" s="2" t="n">
        <v>104.702618204472</v>
      </c>
      <c r="I146" s="2" t="n">
        <v>106.156581193268</v>
      </c>
      <c r="J146" s="2" t="n">
        <v>104.83881124486</v>
      </c>
      <c r="K146" s="2" t="n">
        <v>103.690869822656</v>
      </c>
      <c r="L146" s="2" t="n">
        <v>106.319803082093</v>
      </c>
      <c r="M146" s="2" t="n">
        <v>105.766646275278</v>
      </c>
    </row>
    <row r="147" customFormat="false" ht="15" hidden="false" customHeight="false" outlineLevel="0" collapsed="false">
      <c r="A147" s="3" t="n">
        <v>42767</v>
      </c>
      <c r="B147" s="2" t="n">
        <v>105.512043743952</v>
      </c>
      <c r="C147" s="2" t="n">
        <v>105.015046083509</v>
      </c>
      <c r="D147" s="2" t="n">
        <v>105.961505481339</v>
      </c>
      <c r="E147" s="2" t="n">
        <v>106.025196015389</v>
      </c>
      <c r="F147" s="2" t="n">
        <v>107.606013333868</v>
      </c>
      <c r="G147" s="2" t="n">
        <v>106.766469297539</v>
      </c>
      <c r="H147" s="2" t="n">
        <v>104.682371299834</v>
      </c>
      <c r="I147" s="2" t="n">
        <v>106.382003614858</v>
      </c>
      <c r="J147" s="2" t="n">
        <v>104.852751579232</v>
      </c>
      <c r="K147" s="2" t="n">
        <v>103.717816188613</v>
      </c>
      <c r="L147" s="2" t="n">
        <v>106.475498298723</v>
      </c>
      <c r="M147" s="2" t="n">
        <v>105.867132823319</v>
      </c>
    </row>
    <row r="148" customFormat="false" ht="15" hidden="false" customHeight="false" outlineLevel="0" collapsed="false">
      <c r="A148" s="3" t="n">
        <v>42795</v>
      </c>
      <c r="B148" s="2" t="n">
        <v>105.657326701866</v>
      </c>
      <c r="C148" s="2" t="n">
        <v>105.117437648404</v>
      </c>
      <c r="D148" s="2" t="n">
        <v>106.145577434775</v>
      </c>
      <c r="E148" s="2" t="n">
        <v>106.338270375345</v>
      </c>
      <c r="F148" s="2" t="n">
        <v>107.246598858342</v>
      </c>
      <c r="G148" s="2" t="n">
        <v>106.583888086865</v>
      </c>
      <c r="H148" s="2" t="n">
        <v>104.861248134654</v>
      </c>
      <c r="I148" s="2" t="n">
        <v>106.445045464577</v>
      </c>
      <c r="J148" s="2" t="n">
        <v>104.842064370314</v>
      </c>
      <c r="K148" s="2" t="n">
        <v>104.191051226954</v>
      </c>
      <c r="L148" s="2" t="n">
        <v>106.584635772912</v>
      </c>
      <c r="M148" s="2" t="n">
        <v>106.109328762938</v>
      </c>
    </row>
    <row r="149" customFormat="false" ht="15" hidden="false" customHeight="false" outlineLevel="0" collapsed="false">
      <c r="A149" s="3" t="n">
        <v>42826</v>
      </c>
      <c r="B149" s="2" t="n">
        <v>106.116769150315</v>
      </c>
      <c r="C149" s="2" t="n">
        <v>105.241246961102</v>
      </c>
      <c r="D149" s="2" t="n">
        <v>106.908550994791</v>
      </c>
      <c r="E149" s="2" t="n">
        <v>107.077779636791</v>
      </c>
      <c r="F149" s="2" t="n">
        <v>107.749637927974</v>
      </c>
      <c r="G149" s="2" t="n">
        <v>106.840765343061</v>
      </c>
      <c r="H149" s="2" t="n">
        <v>106.121565947708</v>
      </c>
      <c r="I149" s="2" t="n">
        <v>106.896547218027</v>
      </c>
      <c r="J149" s="2" t="n">
        <v>104.983231111816</v>
      </c>
      <c r="K149" s="2" t="n">
        <v>104.521294603239</v>
      </c>
      <c r="L149" s="2" t="n">
        <v>106.584908064292</v>
      </c>
      <c r="M149" s="2" t="n">
        <v>106.05324172447</v>
      </c>
    </row>
    <row r="150" customFormat="false" ht="15" hidden="false" customHeight="false" outlineLevel="0" collapsed="false">
      <c r="A150" s="3" t="n">
        <v>42856</v>
      </c>
      <c r="B150" s="2" t="n">
        <v>106.165206789217</v>
      </c>
      <c r="C150" s="2" t="n">
        <v>105.427600496326</v>
      </c>
      <c r="D150" s="2" t="n">
        <v>106.832263864727</v>
      </c>
      <c r="E150" s="2" t="n">
        <v>107.160519949203</v>
      </c>
      <c r="F150" s="2" t="n">
        <v>107.551363132394</v>
      </c>
      <c r="G150" s="2" t="n">
        <v>106.746317874287</v>
      </c>
      <c r="H150" s="2" t="n">
        <v>105.381410913037</v>
      </c>
      <c r="I150" s="2" t="n">
        <v>107.412828945794</v>
      </c>
      <c r="J150" s="2" t="n">
        <v>105.233814226179</v>
      </c>
      <c r="K150" s="2" t="n">
        <v>104.424058893501</v>
      </c>
      <c r="L150" s="2" t="n">
        <v>106.817548593771</v>
      </c>
      <c r="M150" s="2" t="n">
        <v>106.191948050029</v>
      </c>
    </row>
    <row r="151" customFormat="false" ht="15" hidden="false" customHeight="false" outlineLevel="0" collapsed="false">
      <c r="A151" s="3" t="n">
        <v>42887</v>
      </c>
      <c r="B151" s="2" t="n">
        <v>105.552737269789</v>
      </c>
      <c r="C151" s="2" t="n">
        <v>105.085530945504</v>
      </c>
      <c r="D151" s="2" t="n">
        <v>105.975257098242</v>
      </c>
      <c r="E151" s="2" t="n">
        <v>105.98662556686</v>
      </c>
      <c r="F151" s="2" t="n">
        <v>107.027652687416</v>
      </c>
      <c r="G151" s="2" t="n">
        <v>106.346874643839</v>
      </c>
      <c r="H151" s="2" t="n">
        <v>105.25238943284</v>
      </c>
      <c r="I151" s="2" t="n">
        <v>106.394362885124</v>
      </c>
      <c r="J151" s="2" t="n">
        <v>104.944663929008</v>
      </c>
      <c r="K151" s="2" t="n">
        <v>103.908666940785</v>
      </c>
      <c r="L151" s="2" t="n">
        <v>106.515494637301</v>
      </c>
      <c r="M151" s="2" t="n">
        <v>105.75190423093</v>
      </c>
    </row>
    <row r="152" customFormat="false" ht="15" hidden="false" customHeight="false" outlineLevel="0" collapsed="false">
      <c r="A152" s="3" t="n">
        <v>42917</v>
      </c>
      <c r="B152" s="2" t="n">
        <v>105.404367166834</v>
      </c>
      <c r="C152" s="2" t="n">
        <v>104.883923365187</v>
      </c>
      <c r="D152" s="2" t="n">
        <v>105.875032511803</v>
      </c>
      <c r="E152" s="2" t="n">
        <v>105.848628508128</v>
      </c>
      <c r="F152" s="2" t="n">
        <v>106.800902471935</v>
      </c>
      <c r="G152" s="2" t="n">
        <v>106.587604055943</v>
      </c>
      <c r="H152" s="2" t="n">
        <v>105.282688706628</v>
      </c>
      <c r="I152" s="2" t="n">
        <v>105.989784410175</v>
      </c>
      <c r="J152" s="2" t="n">
        <v>104.6616590923</v>
      </c>
      <c r="K152" s="2" t="n">
        <v>103.894396578903</v>
      </c>
      <c r="L152" s="2" t="n">
        <v>106.276262746244</v>
      </c>
      <c r="M152" s="2" t="n">
        <v>105.758367768923</v>
      </c>
    </row>
    <row r="153" customFormat="false" ht="15" hidden="false" customHeight="false" outlineLevel="0" collapsed="false">
      <c r="A153" s="3" t="n">
        <v>42948</v>
      </c>
      <c r="B153" s="2" t="n">
        <v>105.41688937022</v>
      </c>
      <c r="C153" s="2" t="n">
        <v>104.885412377842</v>
      </c>
      <c r="D153" s="2" t="n">
        <v>105.897532623476</v>
      </c>
      <c r="E153" s="2" t="n">
        <v>105.903105158019</v>
      </c>
      <c r="F153" s="2" t="n">
        <v>106.690118165225</v>
      </c>
      <c r="G153" s="2" t="n">
        <v>106.33607792676</v>
      </c>
      <c r="H153" s="2" t="n">
        <v>105.440031149472</v>
      </c>
      <c r="I153" s="2" t="n">
        <v>105.82665440459</v>
      </c>
      <c r="J153" s="2" t="n">
        <v>104.800563354346</v>
      </c>
      <c r="K153" s="2" t="n">
        <v>103.811599882703</v>
      </c>
      <c r="L153" s="2" t="n">
        <v>105.875186271016</v>
      </c>
      <c r="M153" s="2" t="n">
        <v>105.537272788115</v>
      </c>
    </row>
    <row r="154" customFormat="false" ht="15" hidden="false" customHeight="false" outlineLevel="0" collapsed="false">
      <c r="A154" s="3" t="n">
        <v>42979</v>
      </c>
      <c r="B154" s="2" t="n">
        <v>105.25558454379</v>
      </c>
      <c r="C154" s="2" t="n">
        <v>104.861036007038</v>
      </c>
      <c r="D154" s="2" t="n">
        <v>105.612396023857</v>
      </c>
      <c r="E154" s="2" t="n">
        <v>105.610110678519</v>
      </c>
      <c r="F154" s="2" t="n">
        <v>106.633274001268</v>
      </c>
      <c r="G154" s="2" t="n">
        <v>105.929709851006</v>
      </c>
      <c r="H154" s="2" t="n">
        <v>105.183203862476</v>
      </c>
      <c r="I154" s="2" t="n">
        <v>105.454003736475</v>
      </c>
      <c r="J154" s="2" t="n">
        <v>104.678251888392</v>
      </c>
      <c r="K154" s="2" t="n">
        <v>103.951262575961</v>
      </c>
      <c r="L154" s="2" t="n">
        <v>105.955564493853</v>
      </c>
      <c r="M154" s="2" t="n">
        <v>105.709178838625</v>
      </c>
    </row>
    <row r="155" customFormat="false" ht="15" hidden="false" customHeight="false" outlineLevel="0" collapsed="false">
      <c r="A155" s="3" t="n">
        <v>43009</v>
      </c>
      <c r="B155" s="2" t="n">
        <v>105.1034891541</v>
      </c>
      <c r="C155" s="2" t="n">
        <v>104.799762599713</v>
      </c>
      <c r="D155" s="2" t="n">
        <v>105.378165426628</v>
      </c>
      <c r="E155" s="2" t="n">
        <v>105.314191270933</v>
      </c>
      <c r="F155" s="2" t="n">
        <v>106.545801589484</v>
      </c>
      <c r="G155" s="2" t="n">
        <v>105.884266167523</v>
      </c>
      <c r="H155" s="2" t="n">
        <v>105.051435367118</v>
      </c>
      <c r="I155" s="2" t="n">
        <v>105.102748176637</v>
      </c>
      <c r="J155" s="2" t="n">
        <v>104.671369993523</v>
      </c>
      <c r="K155" s="2" t="n">
        <v>103.863958116703</v>
      </c>
      <c r="L155" s="2" t="n">
        <v>105.881109446246</v>
      </c>
      <c r="M155" s="2" t="n">
        <v>105.443377845375</v>
      </c>
    </row>
    <row r="156" customFormat="false" ht="15" hidden="false" customHeight="false" outlineLevel="0" collapsed="false">
      <c r="A156" s="3" t="n">
        <v>43040</v>
      </c>
      <c r="B156" s="2" t="n">
        <v>104.815862278346</v>
      </c>
      <c r="C156" s="2" t="n">
        <v>104.652694450239</v>
      </c>
      <c r="D156" s="2" t="n">
        <v>104.963423728518</v>
      </c>
      <c r="E156" s="2" t="n">
        <v>104.886588904548</v>
      </c>
      <c r="F156" s="2" t="n">
        <v>106.17261171585</v>
      </c>
      <c r="G156" s="2" t="n">
        <v>105.965648425077</v>
      </c>
      <c r="H156" s="2" t="n">
        <v>104.239822371693</v>
      </c>
      <c r="I156" s="2" t="n">
        <v>105.247453003376</v>
      </c>
      <c r="J156" s="2" t="n">
        <v>104.571444217839</v>
      </c>
      <c r="K156" s="2" t="n">
        <v>103.511436310646</v>
      </c>
      <c r="L156" s="2" t="n">
        <v>105.954942314516</v>
      </c>
      <c r="M156" s="2" t="n">
        <v>105.118790446104</v>
      </c>
    </row>
    <row r="157" customFormat="false" ht="15" hidden="false" customHeight="false" outlineLevel="0" collapsed="false">
      <c r="A157" s="3" t="n">
        <v>43070</v>
      </c>
      <c r="B157" s="2" t="n">
        <v>105.00396255276</v>
      </c>
      <c r="C157" s="2" t="n">
        <v>104.788574068803</v>
      </c>
      <c r="D157" s="2" t="n">
        <v>105.19874995302</v>
      </c>
      <c r="E157" s="2" t="n">
        <v>105.125148012006</v>
      </c>
      <c r="F157" s="2" t="n">
        <v>106.282313989302</v>
      </c>
      <c r="G157" s="2" t="n">
        <v>105.995517029375</v>
      </c>
      <c r="H157" s="2" t="n">
        <v>104.560158355069</v>
      </c>
      <c r="I157" s="2" t="n">
        <v>105.581131842895</v>
      </c>
      <c r="J157" s="2" t="n">
        <v>104.775371818322</v>
      </c>
      <c r="K157" s="2" t="n">
        <v>103.526498459424</v>
      </c>
      <c r="L157" s="2" t="n">
        <v>105.698596820561</v>
      </c>
      <c r="M157" s="2" t="n">
        <v>105.364013051555</v>
      </c>
    </row>
    <row r="158" customFormat="false" ht="15" hidden="false" customHeight="false" outlineLevel="0" collapsed="false">
      <c r="A158" s="3" t="n">
        <v>43101</v>
      </c>
      <c r="B158" s="2" t="n">
        <v>105.204050176427</v>
      </c>
      <c r="C158" s="2" t="n">
        <v>105.110038624308</v>
      </c>
      <c r="D158" s="2" t="n">
        <v>105.289069883587</v>
      </c>
      <c r="E158" s="2" t="n">
        <v>105.026010321195</v>
      </c>
      <c r="F158" s="2" t="n">
        <v>106.914645087204</v>
      </c>
      <c r="G158" s="2" t="n">
        <v>106.715024082857</v>
      </c>
      <c r="H158" s="2" t="n">
        <v>104.609577132733</v>
      </c>
      <c r="I158" s="2" t="n">
        <v>106.115932154603</v>
      </c>
      <c r="J158" s="2" t="n">
        <v>105.225428922442</v>
      </c>
      <c r="K158" s="2" t="n">
        <v>103.585749011788</v>
      </c>
      <c r="L158" s="2" t="n">
        <v>106.228175404012</v>
      </c>
      <c r="M158" s="2" t="n">
        <v>105.213365550988</v>
      </c>
    </row>
    <row r="159" customFormat="false" ht="15" hidden="false" customHeight="false" outlineLevel="0" collapsed="false">
      <c r="A159" s="3" t="n">
        <v>43132</v>
      </c>
      <c r="B159" s="2" t="n">
        <v>105.365176487928</v>
      </c>
      <c r="C159" s="2" t="n">
        <v>105.285075504933</v>
      </c>
      <c r="D159" s="2" t="n">
        <v>105.437616118633</v>
      </c>
      <c r="E159" s="2" t="n">
        <v>105.330655769311</v>
      </c>
      <c r="F159" s="2" t="n">
        <v>106.808231009403</v>
      </c>
      <c r="G159" s="2" t="n">
        <v>106.466706971473</v>
      </c>
      <c r="H159" s="2" t="n">
        <v>104.527311172048</v>
      </c>
      <c r="I159" s="2" t="n">
        <v>106.283899250595</v>
      </c>
      <c r="J159" s="2" t="n">
        <v>105.295434572802</v>
      </c>
      <c r="K159" s="2" t="n">
        <v>103.842779949764</v>
      </c>
      <c r="L159" s="2" t="n">
        <v>106.424449741409</v>
      </c>
      <c r="M159" s="2" t="n">
        <v>105.756367869144</v>
      </c>
    </row>
    <row r="160" customFormat="false" ht="15" hidden="false" customHeight="false" outlineLevel="0" collapsed="false">
      <c r="A160" s="3" t="n">
        <v>43160</v>
      </c>
      <c r="B160" s="2" t="n">
        <v>105.432295912604</v>
      </c>
      <c r="C160" s="2" t="n">
        <v>105.330835698419</v>
      </c>
      <c r="D160" s="2" t="n">
        <v>105.524051845825</v>
      </c>
      <c r="E160" s="2" t="n">
        <v>105.29961083491</v>
      </c>
      <c r="F160" s="2" t="n">
        <v>107.05666731219</v>
      </c>
      <c r="G160" s="2" t="n">
        <v>106.673000715973</v>
      </c>
      <c r="H160" s="2" t="n">
        <v>105.187553881136</v>
      </c>
      <c r="I160" s="2" t="n">
        <v>105.522602205818</v>
      </c>
      <c r="J160" s="2" t="n">
        <v>105.351291395449</v>
      </c>
      <c r="K160" s="2" t="n">
        <v>103.770199771949</v>
      </c>
      <c r="L160" s="2" t="n">
        <v>106.528464440443</v>
      </c>
      <c r="M160" s="2" t="n">
        <v>105.826530173419</v>
      </c>
    </row>
    <row r="161" customFormat="false" ht="15" hidden="false" customHeight="false" outlineLevel="0" collapsed="false">
      <c r="A161" s="3" t="n">
        <v>43191</v>
      </c>
      <c r="B161" s="2" t="n">
        <v>105.285855505328</v>
      </c>
      <c r="C161" s="2" t="n">
        <v>105.142570348658</v>
      </c>
      <c r="D161" s="2" t="n">
        <v>105.415435985448</v>
      </c>
      <c r="E161" s="2" t="n">
        <v>105.490855499004</v>
      </c>
      <c r="F161" s="2" t="n">
        <v>107.159918924174</v>
      </c>
      <c r="G161" s="2" t="n">
        <v>105.783957091028</v>
      </c>
      <c r="H161" s="2" t="n">
        <v>104.300856125363</v>
      </c>
      <c r="I161" s="2" t="n">
        <v>105.703022687417</v>
      </c>
      <c r="J161" s="2" t="n">
        <v>105.295356428671</v>
      </c>
      <c r="K161" s="2" t="n">
        <v>103.576242429883</v>
      </c>
      <c r="L161" s="2" t="n">
        <v>106.202972540619</v>
      </c>
      <c r="M161" s="2" t="n">
        <v>105.164662059002</v>
      </c>
    </row>
    <row r="162" customFormat="false" ht="15" hidden="false" customHeight="false" outlineLevel="0" collapsed="false">
      <c r="A162" s="3" t="n">
        <v>43221</v>
      </c>
      <c r="B162" s="2" t="n">
        <v>105.093609502236</v>
      </c>
      <c r="C162" s="2" t="n">
        <v>104.863593754733</v>
      </c>
      <c r="D162" s="2" t="n">
        <v>105.301625124295</v>
      </c>
      <c r="E162" s="2" t="n">
        <v>105.343366135176</v>
      </c>
      <c r="F162" s="2" t="n">
        <v>106.595941671239</v>
      </c>
      <c r="G162" s="2" t="n">
        <v>105.670450808409</v>
      </c>
      <c r="H162" s="2" t="n">
        <v>104.406906419221</v>
      </c>
      <c r="I162" s="2" t="n">
        <v>105.703915532334</v>
      </c>
      <c r="J162" s="2" t="n">
        <v>104.998865140765</v>
      </c>
      <c r="K162" s="2" t="n">
        <v>103.61165869677</v>
      </c>
      <c r="L162" s="2" t="n">
        <v>105.878174454165</v>
      </c>
      <c r="M162" s="2" t="n">
        <v>104.698343911999</v>
      </c>
    </row>
    <row r="163" customFormat="false" ht="15" hidden="false" customHeight="false" outlineLevel="0" collapsed="false">
      <c r="A163" s="3" t="n">
        <v>43252</v>
      </c>
      <c r="B163" s="2" t="n">
        <v>104.805413816399</v>
      </c>
      <c r="C163" s="2" t="n">
        <v>104.790425739356</v>
      </c>
      <c r="D163" s="2" t="n">
        <v>104.818968341267</v>
      </c>
      <c r="E163" s="2" t="n">
        <v>104.839050157761</v>
      </c>
      <c r="F163" s="2" t="n">
        <v>106.057201706647</v>
      </c>
      <c r="G163" s="2" t="n">
        <v>105.595699672079</v>
      </c>
      <c r="H163" s="2" t="n">
        <v>103.832011954542</v>
      </c>
      <c r="I163" s="2" t="n">
        <v>105.234685215622</v>
      </c>
      <c r="J163" s="2" t="n">
        <v>105.096147012956</v>
      </c>
      <c r="K163" s="2" t="n">
        <v>103.193875735527</v>
      </c>
      <c r="L163" s="2" t="n">
        <v>105.502761639772</v>
      </c>
      <c r="M163" s="2" t="n">
        <v>104.429528601176</v>
      </c>
    </row>
    <row r="164" customFormat="false" ht="15" hidden="false" customHeight="false" outlineLevel="0" collapsed="false">
      <c r="A164" s="3" t="n">
        <v>43282</v>
      </c>
      <c r="B164" s="2" t="n">
        <v>104.801098085515</v>
      </c>
      <c r="C164" s="2" t="n">
        <v>104.843885009223</v>
      </c>
      <c r="D164" s="2" t="n">
        <v>104.762403567215</v>
      </c>
      <c r="E164" s="2" t="n">
        <v>104.755870497599</v>
      </c>
      <c r="F164" s="2" t="n">
        <v>105.647839506106</v>
      </c>
      <c r="G164" s="2" t="n">
        <v>105.630826827046</v>
      </c>
      <c r="H164" s="2" t="n">
        <v>103.912450605149</v>
      </c>
      <c r="I164" s="2" t="n">
        <v>105.259978929296</v>
      </c>
      <c r="J164" s="2" t="n">
        <v>105.096849693935</v>
      </c>
      <c r="K164" s="2" t="n">
        <v>103.189684034892</v>
      </c>
      <c r="L164" s="2" t="n">
        <v>105.696660966885</v>
      </c>
      <c r="M164" s="2" t="n">
        <v>104.664517537948</v>
      </c>
    </row>
    <row r="165" customFormat="false" ht="15" hidden="false" customHeight="false" outlineLevel="0" collapsed="false">
      <c r="A165" s="3" t="n">
        <v>43313</v>
      </c>
      <c r="B165" s="2" t="n">
        <v>105.083525023619</v>
      </c>
      <c r="C165" s="2" t="n">
        <v>104.937769524175</v>
      </c>
      <c r="D165" s="2" t="n">
        <v>105.215339567687</v>
      </c>
      <c r="E165" s="2" t="n">
        <v>105.273137969895</v>
      </c>
      <c r="F165" s="2" t="n">
        <v>106.376925848438</v>
      </c>
      <c r="G165" s="2" t="n">
        <v>105.621063801423</v>
      </c>
      <c r="H165" s="2" t="n">
        <v>104.250321064264</v>
      </c>
      <c r="I165" s="2" t="n">
        <v>105.755291325687</v>
      </c>
      <c r="J165" s="2" t="n">
        <v>105.161934395791</v>
      </c>
      <c r="K165" s="2" t="n">
        <v>103.128676544553</v>
      </c>
      <c r="L165" s="2" t="n">
        <v>106.258098682371</v>
      </c>
      <c r="M165" s="2" t="n">
        <v>104.682006104538</v>
      </c>
    </row>
    <row r="166" customFormat="false" ht="15" hidden="false" customHeight="false" outlineLevel="0" collapsed="false">
      <c r="A166" s="3" t="n">
        <v>43344</v>
      </c>
      <c r="B166" s="2" t="n">
        <v>105.495324910595</v>
      </c>
      <c r="C166" s="2" t="n">
        <v>105.349430975584</v>
      </c>
      <c r="D166" s="2" t="n">
        <v>105.627264649398</v>
      </c>
      <c r="E166" s="2" t="n">
        <v>105.591483031272</v>
      </c>
      <c r="F166" s="2" t="n">
        <v>107.002537569476</v>
      </c>
      <c r="G166" s="2" t="n">
        <v>105.715668242192</v>
      </c>
      <c r="H166" s="2" t="n">
        <v>104.82861485056</v>
      </c>
      <c r="I166" s="2" t="n">
        <v>106.653792411469</v>
      </c>
      <c r="J166" s="2" t="n">
        <v>105.640713585443</v>
      </c>
      <c r="K166" s="2" t="n">
        <v>103.58808266645</v>
      </c>
      <c r="L166" s="2" t="n">
        <v>105.888744894242</v>
      </c>
      <c r="M166" s="2" t="n">
        <v>105.33814018289</v>
      </c>
    </row>
    <row r="167" customFormat="false" ht="15" hidden="false" customHeight="false" outlineLevel="0" collapsed="false">
      <c r="A167" s="3" t="n">
        <v>43374</v>
      </c>
      <c r="B167" s="2" t="n">
        <v>105.445727281168</v>
      </c>
      <c r="C167" s="2" t="n">
        <v>105.283862496097</v>
      </c>
      <c r="D167" s="2" t="n">
        <v>105.59211031938</v>
      </c>
      <c r="E167" s="2" t="n">
        <v>105.787662736137</v>
      </c>
      <c r="F167" s="2" t="n">
        <v>106.645485146805</v>
      </c>
      <c r="G167" s="2" t="n">
        <v>105.894262392771</v>
      </c>
      <c r="H167" s="2" t="n">
        <v>104.197684935333</v>
      </c>
      <c r="I167" s="2" t="n">
        <v>106.360035934716</v>
      </c>
      <c r="J167" s="2" t="n">
        <v>105.539665052271</v>
      </c>
      <c r="K167" s="2" t="n">
        <v>103.504692836125</v>
      </c>
      <c r="L167" s="2" t="n">
        <v>106.19981721982</v>
      </c>
      <c r="M167" s="2" t="n">
        <v>105.163418462002</v>
      </c>
    </row>
    <row r="168" customFormat="false" ht="15" hidden="false" customHeight="false" outlineLevel="0" collapsed="false">
      <c r="A168" s="3" t="n">
        <v>43405</v>
      </c>
      <c r="B168" s="2" t="n">
        <v>105.179140431073</v>
      </c>
      <c r="C168" s="2" t="n">
        <v>105.141268272027</v>
      </c>
      <c r="D168" s="2" t="n">
        <v>105.21339026313</v>
      </c>
      <c r="E168" s="2" t="n">
        <v>105.359713943623</v>
      </c>
      <c r="F168" s="2" t="n">
        <v>106.419717608477</v>
      </c>
      <c r="G168" s="2" t="n">
        <v>105.815475425392</v>
      </c>
      <c r="H168" s="2" t="n">
        <v>103.910278051731</v>
      </c>
      <c r="I168" s="2" t="n">
        <v>105.659559502501</v>
      </c>
      <c r="J168" s="2" t="n">
        <v>105.29393222432</v>
      </c>
      <c r="K168" s="2" t="n">
        <v>103.601632782825</v>
      </c>
      <c r="L168" s="2" t="n">
        <v>106.122961907617</v>
      </c>
      <c r="M168" s="2" t="n">
        <v>105.197485432057</v>
      </c>
    </row>
    <row r="169" customFormat="false" ht="15" hidden="false" customHeight="false" outlineLevel="0" collapsed="false">
      <c r="A169" s="3" t="n">
        <v>43435</v>
      </c>
      <c r="B169" s="2" t="n">
        <v>105.2834519759</v>
      </c>
      <c r="C169" s="2" t="n">
        <v>105.09044118602</v>
      </c>
      <c r="D169" s="2" t="n">
        <v>105.458002022829</v>
      </c>
      <c r="E169" s="2" t="n">
        <v>105.6956614688</v>
      </c>
      <c r="F169" s="2" t="n">
        <v>106.355681291087</v>
      </c>
      <c r="G169" s="2" t="n">
        <v>105.991508608065</v>
      </c>
      <c r="H169" s="2" t="n">
        <v>104.131577559781</v>
      </c>
      <c r="I169" s="2" t="n">
        <v>105.582513814728</v>
      </c>
      <c r="J169" s="2" t="n">
        <v>105.289552398416</v>
      </c>
      <c r="K169" s="2" t="n">
        <v>103.249542593339</v>
      </c>
      <c r="L169" s="2" t="n">
        <v>106.414276825678</v>
      </c>
      <c r="M169" s="2" t="n">
        <v>104.97241198625</v>
      </c>
    </row>
    <row r="170" customFormat="false" ht="15" hidden="false" customHeight="false" outlineLevel="0" collapsed="false">
      <c r="A170" s="3" t="n">
        <v>43466</v>
      </c>
      <c r="B170" s="2" t="n">
        <v>105.773500350709</v>
      </c>
      <c r="C170" s="2" t="n">
        <v>105.667861851043</v>
      </c>
      <c r="D170" s="2" t="n">
        <v>105.869034932406</v>
      </c>
      <c r="E170" s="2" t="n">
        <v>106.039566776623</v>
      </c>
      <c r="F170" s="2" t="n">
        <v>106.668595265259</v>
      </c>
      <c r="G170" s="2" t="n">
        <v>106.55955507295</v>
      </c>
      <c r="H170" s="2" t="n">
        <v>104.584146891071</v>
      </c>
      <c r="I170" s="2" t="n">
        <v>106.349275836214</v>
      </c>
      <c r="J170" s="2" t="n">
        <v>105.842718294006</v>
      </c>
      <c r="K170" s="2" t="n">
        <v>103.960789966531</v>
      </c>
      <c r="L170" s="2" t="n">
        <v>107.023921089964</v>
      </c>
      <c r="M170" s="2" t="n">
        <v>105.505204862557</v>
      </c>
    </row>
    <row r="171" customFormat="false" ht="15" hidden="false" customHeight="false" outlineLevel="0" collapsed="false">
      <c r="A171" s="3" t="n">
        <v>43497</v>
      </c>
      <c r="B171" s="2" t="n">
        <v>105.530911948375</v>
      </c>
      <c r="C171" s="2" t="n">
        <v>105.353213194532</v>
      </c>
      <c r="D171" s="2" t="n">
        <v>105.69161449688</v>
      </c>
      <c r="E171" s="2" t="n">
        <v>105.787717718723</v>
      </c>
      <c r="F171" s="2" t="n">
        <v>106.637211832879</v>
      </c>
      <c r="G171" s="2" t="n">
        <v>106.546383048484</v>
      </c>
      <c r="H171" s="2" t="n">
        <v>104.609098716461</v>
      </c>
      <c r="I171" s="2" t="n">
        <v>105.922431608742</v>
      </c>
      <c r="J171" s="2" t="n">
        <v>105.512154595267</v>
      </c>
      <c r="K171" s="2" t="n">
        <v>103.669184536365</v>
      </c>
      <c r="L171" s="2" t="n">
        <v>106.684052126494</v>
      </c>
      <c r="M171" s="2" t="n">
        <v>105.257522895353</v>
      </c>
    </row>
    <row r="172" customFormat="false" ht="15" hidden="false" customHeight="false" outlineLevel="0" collapsed="false">
      <c r="A172" s="3" t="n">
        <v>43525</v>
      </c>
      <c r="B172" s="2" t="n">
        <v>105.307760531158</v>
      </c>
      <c r="C172" s="2" t="n">
        <v>105.128389452719</v>
      </c>
      <c r="D172" s="2" t="n">
        <v>105.469975452815</v>
      </c>
      <c r="E172" s="2" t="n">
        <v>105.606024441105</v>
      </c>
      <c r="F172" s="2" t="n">
        <v>106.054566648828</v>
      </c>
      <c r="G172" s="2" t="n">
        <v>106.372581926634</v>
      </c>
      <c r="H172" s="2" t="n">
        <v>104.393277028164</v>
      </c>
      <c r="I172" s="2" t="n">
        <v>105.641488086914</v>
      </c>
      <c r="J172" s="2" t="n">
        <v>105.268506840799</v>
      </c>
      <c r="K172" s="2" t="n">
        <v>103.558279275141</v>
      </c>
      <c r="L172" s="2" t="n">
        <v>106.491561362401</v>
      </c>
      <c r="M172" s="2" t="n">
        <v>104.983025521627</v>
      </c>
    </row>
    <row r="173" customFormat="false" ht="15" hidden="false" customHeight="false" outlineLevel="0" collapsed="false">
      <c r="A173" s="3" t="n">
        <v>43556</v>
      </c>
      <c r="B173" s="2" t="n">
        <v>105.488432161687</v>
      </c>
      <c r="C173" s="2" t="n">
        <v>105.197307698732</v>
      </c>
      <c r="D173" s="2" t="n">
        <v>105.75171168457</v>
      </c>
      <c r="E173" s="2" t="n">
        <v>105.871822408789</v>
      </c>
      <c r="F173" s="2" t="n">
        <v>106.327271437647</v>
      </c>
      <c r="G173" s="2" t="n">
        <v>106.573115818823</v>
      </c>
      <c r="H173" s="2" t="n">
        <v>104.821164012402</v>
      </c>
      <c r="I173" s="2" t="n">
        <v>105.766240101019</v>
      </c>
      <c r="J173" s="2" t="n">
        <v>105.388697302402</v>
      </c>
      <c r="K173" s="2" t="n">
        <v>103.436827673732</v>
      </c>
      <c r="L173" s="2" t="n">
        <v>106.563871376337</v>
      </c>
      <c r="M173" s="2" t="n">
        <v>105.004832615589</v>
      </c>
    </row>
    <row r="174" customFormat="false" ht="15" hidden="false" customHeight="false" outlineLevel="0" collapsed="false">
      <c r="A174" s="3" t="n">
        <v>43586</v>
      </c>
      <c r="B174" s="2" t="n">
        <v>105.483993620977</v>
      </c>
      <c r="C174" s="2" t="n">
        <v>105.188766383479</v>
      </c>
      <c r="D174" s="2" t="n">
        <v>105.75098350373</v>
      </c>
      <c r="E174" s="2" t="n">
        <v>106.048905327467</v>
      </c>
      <c r="F174" s="2" t="n">
        <v>106.30909781206</v>
      </c>
      <c r="G174" s="2" t="n">
        <v>105.901285196192</v>
      </c>
      <c r="H174" s="2" t="n">
        <v>104.495240043437</v>
      </c>
      <c r="I174" s="2" t="n">
        <v>105.945381403769</v>
      </c>
      <c r="J174" s="2" t="n">
        <v>105.442239038368</v>
      </c>
      <c r="K174" s="2" t="n">
        <v>103.03013371787</v>
      </c>
      <c r="L174" s="2" t="n">
        <v>106.566392221687</v>
      </c>
      <c r="M174" s="2" t="n">
        <v>105.093291307505</v>
      </c>
    </row>
    <row r="175" customFormat="false" ht="15" hidden="false" customHeight="false" outlineLevel="0" collapsed="false">
      <c r="A175" s="3" t="n">
        <v>43617</v>
      </c>
      <c r="B175" s="2" t="n">
        <v>105.446249456763</v>
      </c>
      <c r="C175" s="2" t="n">
        <v>105.252540248157</v>
      </c>
      <c r="D175" s="2" t="n">
        <v>105.621431121342</v>
      </c>
      <c r="E175" s="2" t="n">
        <v>105.840553230368</v>
      </c>
      <c r="F175" s="2" t="n">
        <v>106.597239708943</v>
      </c>
      <c r="G175" s="2" t="n">
        <v>106.029601833364</v>
      </c>
      <c r="H175" s="2" t="n">
        <v>104.432231415359</v>
      </c>
      <c r="I175" s="2" t="n">
        <v>105.602288229937</v>
      </c>
      <c r="J175" s="2" t="n">
        <v>105.478937114174</v>
      </c>
      <c r="K175" s="2" t="n">
        <v>103.247266988285</v>
      </c>
      <c r="L175" s="2" t="n">
        <v>106.69567865709</v>
      </c>
      <c r="M175" s="2" t="n">
        <v>105.081354313655</v>
      </c>
    </row>
    <row r="176" customFormat="false" ht="15" hidden="false" customHeight="false" outlineLevel="0" collapsed="false">
      <c r="A176" s="3" t="n">
        <v>43647</v>
      </c>
      <c r="B176" s="2" t="n">
        <v>105.542558039632</v>
      </c>
      <c r="C176" s="2" t="n">
        <v>105.448471139752</v>
      </c>
      <c r="D176" s="2" t="n">
        <v>105.627645887827</v>
      </c>
      <c r="E176" s="2" t="n">
        <v>105.853078773102</v>
      </c>
      <c r="F176" s="2" t="n">
        <v>106.632323373886</v>
      </c>
      <c r="G176" s="2" t="n">
        <v>105.907507685787</v>
      </c>
      <c r="H176" s="2" t="n">
        <v>104.436328917463</v>
      </c>
      <c r="I176" s="2" t="n">
        <v>105.680657632363</v>
      </c>
      <c r="J176" s="2" t="n">
        <v>105.764305968326</v>
      </c>
      <c r="K176" s="2" t="n">
        <v>103.275494791281</v>
      </c>
      <c r="L176" s="2" t="n">
        <v>106.707416389502</v>
      </c>
      <c r="M176" s="2" t="n">
        <v>105.181332237411</v>
      </c>
    </row>
    <row r="177" customFormat="false" ht="15" hidden="false" customHeight="false" outlineLevel="0" collapsed="false">
      <c r="A177" s="3" t="n">
        <v>43678</v>
      </c>
      <c r="B177" s="2" t="n">
        <v>105.432642629271</v>
      </c>
      <c r="C177" s="2" t="n">
        <v>105.338673138884</v>
      </c>
      <c r="D177" s="2" t="n">
        <v>105.517624297742</v>
      </c>
      <c r="E177" s="2" t="n">
        <v>105.766766801526</v>
      </c>
      <c r="F177" s="2" t="n">
        <v>106.339190874295</v>
      </c>
      <c r="G177" s="2" t="n">
        <v>106.138626546454</v>
      </c>
      <c r="H177" s="2" t="n">
        <v>104.199282576685</v>
      </c>
      <c r="I177" s="2" t="n">
        <v>105.498413493151</v>
      </c>
      <c r="J177" s="2" t="n">
        <v>105.643775622866</v>
      </c>
      <c r="K177" s="2" t="n">
        <v>103.311991371629</v>
      </c>
      <c r="L177" s="2" t="n">
        <v>106.512326845076</v>
      </c>
      <c r="M177" s="2" t="n">
        <v>105.043619876879</v>
      </c>
    </row>
    <row r="178" customFormat="false" ht="15" hidden="false" customHeight="false" outlineLevel="0" collapsed="false">
      <c r="A178" s="3" t="n">
        <v>43709</v>
      </c>
      <c r="B178" s="2" t="n">
        <v>105.420031464935</v>
      </c>
      <c r="C178" s="2" t="n">
        <v>105.451024971147</v>
      </c>
      <c r="D178" s="2" t="n">
        <v>105.392002368909</v>
      </c>
      <c r="E178" s="2" t="n">
        <v>105.599239636486</v>
      </c>
      <c r="F178" s="2" t="n">
        <v>106.382905249506</v>
      </c>
      <c r="G178" s="2" t="n">
        <v>106.247333710588</v>
      </c>
      <c r="H178" s="2" t="n">
        <v>104.099656184064</v>
      </c>
      <c r="I178" s="2" t="n">
        <v>105.223532010259</v>
      </c>
      <c r="J178" s="2" t="n">
        <v>105.746566094748</v>
      </c>
      <c r="K178" s="2" t="n">
        <v>103.190668467997</v>
      </c>
      <c r="L178" s="2" t="n">
        <v>106.658285513787</v>
      </c>
      <c r="M178" s="2" t="n">
        <v>105.394819813335</v>
      </c>
    </row>
    <row r="179" customFormat="false" ht="15" hidden="false" customHeight="false" outlineLevel="0" collapsed="false">
      <c r="A179" s="3" t="n">
        <v>43739</v>
      </c>
      <c r="B179" s="2" t="n">
        <v>105.968981459124</v>
      </c>
      <c r="C179" s="2" t="n">
        <v>105.942601056418</v>
      </c>
      <c r="D179" s="2" t="n">
        <v>105.99283867733</v>
      </c>
      <c r="E179" s="2" t="n">
        <v>106.391081414362</v>
      </c>
      <c r="F179" s="2" t="n">
        <v>107.039190550327</v>
      </c>
      <c r="G179" s="2" t="n">
        <v>106.12428236272</v>
      </c>
      <c r="H179" s="2" t="n">
        <v>104.430543687901</v>
      </c>
      <c r="I179" s="2" t="n">
        <v>105.740207876344</v>
      </c>
      <c r="J179" s="2" t="n">
        <v>106.120029969784</v>
      </c>
      <c r="K179" s="2" t="n">
        <v>104.438902162983</v>
      </c>
      <c r="L179" s="2" t="n">
        <v>106.974416040759</v>
      </c>
      <c r="M179" s="2" t="n">
        <v>105.818266884542</v>
      </c>
    </row>
    <row r="180" customFormat="false" ht="15" hidden="false" customHeight="false" outlineLevel="0" collapsed="false">
      <c r="A180" s="3" t="n">
        <v>43770</v>
      </c>
      <c r="B180" s="2" t="n">
        <v>105.223281122662</v>
      </c>
      <c r="C180" s="2" t="n">
        <v>105.250981137225</v>
      </c>
      <c r="D180" s="2" t="n">
        <v>105.198230508419</v>
      </c>
      <c r="E180" s="2" t="n">
        <v>105.370279179469</v>
      </c>
      <c r="F180" s="2" t="n">
        <v>106.290563182048</v>
      </c>
      <c r="G180" s="2" t="n">
        <v>106.023541426733</v>
      </c>
      <c r="H180" s="2" t="n">
        <v>103.863307709738</v>
      </c>
      <c r="I180" s="2" t="n">
        <v>105.371235883335</v>
      </c>
      <c r="J180" s="2" t="n">
        <v>105.381721701159</v>
      </c>
      <c r="K180" s="2" t="n">
        <v>103.431387807581</v>
      </c>
      <c r="L180" s="2" t="n">
        <v>106.572134204669</v>
      </c>
      <c r="M180" s="2" t="n">
        <v>105.415307684953</v>
      </c>
    </row>
    <row r="181" customFormat="false" ht="15" hidden="false" customHeight="false" outlineLevel="0" collapsed="false">
      <c r="A181" s="3" t="n">
        <v>43800</v>
      </c>
      <c r="B181" s="2" t="n">
        <v>105.214666947918</v>
      </c>
      <c r="C181" s="2" t="n">
        <v>105.221010671231</v>
      </c>
      <c r="D181" s="2" t="n">
        <v>105.208929977449</v>
      </c>
      <c r="E181" s="2" t="n">
        <v>105.403689869987</v>
      </c>
      <c r="F181" s="2" t="n">
        <v>106.012270090264</v>
      </c>
      <c r="G181" s="2" t="n">
        <v>106.070023543627</v>
      </c>
      <c r="H181" s="2" t="n">
        <v>103.925199911132</v>
      </c>
      <c r="I181" s="2" t="n">
        <v>105.289771928051</v>
      </c>
      <c r="J181" s="2" t="n">
        <v>105.280135147407</v>
      </c>
      <c r="K181" s="2" t="n">
        <v>103.486257825104</v>
      </c>
      <c r="L181" s="2" t="n">
        <v>106.446388338108</v>
      </c>
      <c r="M181" s="2" t="n">
        <v>105.691323208031</v>
      </c>
    </row>
    <row r="182" customFormat="false" ht="15" hidden="false" customHeight="false" outlineLevel="0" collapsed="false">
      <c r="A182" s="3" t="n">
        <v>43831</v>
      </c>
      <c r="B182" s="2" t="n">
        <v>105.453517612939</v>
      </c>
      <c r="C182" s="2" t="n">
        <v>105.437256660158</v>
      </c>
      <c r="D182" s="2" t="n">
        <v>105.468223267855</v>
      </c>
      <c r="E182" s="2" t="n">
        <v>105.713060706431</v>
      </c>
      <c r="F182" s="2" t="n">
        <v>105.859897929665</v>
      </c>
      <c r="G182" s="2" t="n">
        <v>106.226977372202</v>
      </c>
      <c r="H182" s="2" t="n">
        <v>104.259444816799</v>
      </c>
      <c r="I182" s="2" t="n">
        <v>105.440485864125</v>
      </c>
      <c r="J182" s="2" t="n">
        <v>105.471642319681</v>
      </c>
      <c r="K182" s="2" t="n">
        <v>103.765463262592</v>
      </c>
      <c r="L182" s="2" t="n">
        <v>106.594350933673</v>
      </c>
      <c r="M182" s="2" t="n">
        <v>106.007660340216</v>
      </c>
    </row>
    <row r="183" customFormat="false" ht="15" hidden="false" customHeight="false" outlineLevel="0" collapsed="false">
      <c r="A183" s="3" t="n">
        <v>43862</v>
      </c>
      <c r="B183" s="2" t="n">
        <v>105.290675551604</v>
      </c>
      <c r="C183" s="2" t="n">
        <v>105.248329645472</v>
      </c>
      <c r="D183" s="2" t="n">
        <v>105.328971233971</v>
      </c>
      <c r="E183" s="2" t="n">
        <v>105.503004237868</v>
      </c>
      <c r="F183" s="2" t="n">
        <v>105.743329726516</v>
      </c>
      <c r="G183" s="2" t="n">
        <v>106.233955220591</v>
      </c>
      <c r="H183" s="2" t="n">
        <v>104.391479610143</v>
      </c>
      <c r="I183" s="2" t="n">
        <v>104.975000958269</v>
      </c>
      <c r="J183" s="2" t="n">
        <v>105.344646271328</v>
      </c>
      <c r="K183" s="2" t="n">
        <v>103.685213850173</v>
      </c>
      <c r="L183" s="2" t="n">
        <v>106.757293963083</v>
      </c>
      <c r="M183" s="2" t="n">
        <v>105.179703213401</v>
      </c>
    </row>
    <row r="184" customFormat="false" ht="15" hidden="false" customHeight="false" outlineLevel="0" collapsed="false">
      <c r="A184" s="3" t="n">
        <v>43891</v>
      </c>
      <c r="B184" s="2" t="n">
        <v>105.498562598122</v>
      </c>
      <c r="C184" s="2" t="n">
        <v>105.547013312768</v>
      </c>
      <c r="D184" s="2" t="n">
        <v>105.454746008799</v>
      </c>
      <c r="E184" s="2" t="n">
        <v>105.769339728964</v>
      </c>
      <c r="F184" s="2" t="n">
        <v>106.196993674222</v>
      </c>
      <c r="G184" s="2" t="n">
        <v>106.312787118092</v>
      </c>
      <c r="H184" s="2" t="n">
        <v>104.00372781931</v>
      </c>
      <c r="I184" s="2" t="n">
        <v>105.05561729992</v>
      </c>
      <c r="J184" s="2" t="n">
        <v>105.660109306802</v>
      </c>
      <c r="K184" s="2" t="n">
        <v>103.904931353105</v>
      </c>
      <c r="L184" s="2" t="n">
        <v>106.596847057723</v>
      </c>
      <c r="M184" s="2" t="n">
        <v>105.82347690123</v>
      </c>
    </row>
    <row r="185" customFormat="false" ht="15" hidden="false" customHeight="false" outlineLevel="0" collapsed="false">
      <c r="A185" s="3" t="n">
        <v>43922</v>
      </c>
      <c r="B185" s="2" t="n">
        <v>106.556317848736</v>
      </c>
      <c r="C185" s="2" t="n">
        <v>105.74263384608</v>
      </c>
      <c r="D185" s="2" t="n">
        <v>107.2921760924</v>
      </c>
      <c r="E185" s="2" t="n">
        <v>107.474605039763</v>
      </c>
      <c r="F185" s="2" t="n">
        <v>107.060954379188</v>
      </c>
      <c r="G185" s="2" t="n">
        <v>109.461177638583</v>
      </c>
      <c r="H185" s="2" t="n">
        <v>106.221926672971</v>
      </c>
      <c r="I185" s="2" t="n">
        <v>106.394641973187</v>
      </c>
      <c r="J185" s="2" t="n">
        <v>105.469633223912</v>
      </c>
      <c r="K185" s="2" t="n">
        <v>104.989499588953</v>
      </c>
      <c r="L185" s="2" t="n">
        <v>107.549243430526</v>
      </c>
      <c r="M185" s="2" t="n">
        <v>106.305325262624</v>
      </c>
    </row>
    <row r="186" customFormat="false" ht="15" hidden="false" customHeight="false" outlineLevel="0" collapsed="false">
      <c r="A186" s="3" t="n">
        <v>43952</v>
      </c>
      <c r="B186" s="2" t="n">
        <v>106.279288371097</v>
      </c>
      <c r="C186" s="2" t="n">
        <v>105.737962833009</v>
      </c>
      <c r="D186" s="2" t="n">
        <v>106.768838194378</v>
      </c>
      <c r="E186" s="2" t="n">
        <v>107.199616615177</v>
      </c>
      <c r="F186" s="2" t="n">
        <v>106.493487502905</v>
      </c>
      <c r="G186" s="2" t="n">
        <v>108.533280866056</v>
      </c>
      <c r="H186" s="2" t="n">
        <v>105.14408500779</v>
      </c>
      <c r="I186" s="2" t="n">
        <v>105.803498771394</v>
      </c>
      <c r="J186" s="2" t="n">
        <v>105.542963183985</v>
      </c>
      <c r="K186" s="2" t="n">
        <v>105.127544897451</v>
      </c>
      <c r="L186" s="2" t="n">
        <v>107.614837913416</v>
      </c>
      <c r="M186" s="2" t="n">
        <v>105.769533201256</v>
      </c>
    </row>
    <row r="187" customFormat="false" ht="15" hidden="false" customHeight="false" outlineLevel="0" collapsed="false">
      <c r="A187" s="3" t="n">
        <v>43983</v>
      </c>
      <c r="B187" s="2" t="n">
        <v>105.620553724443</v>
      </c>
      <c r="C187" s="2" t="n">
        <v>105.523788394591</v>
      </c>
      <c r="D187" s="2" t="n">
        <v>105.708063821041</v>
      </c>
      <c r="E187" s="2" t="n">
        <v>106.048590890639</v>
      </c>
      <c r="F187" s="2" t="n">
        <v>105.939672872182</v>
      </c>
      <c r="G187" s="2" t="n">
        <v>107.219772107664</v>
      </c>
      <c r="H187" s="2" t="n">
        <v>103.987745570072</v>
      </c>
      <c r="I187" s="2" t="n">
        <v>105.549849453004</v>
      </c>
      <c r="J187" s="2" t="n">
        <v>105.29479395566</v>
      </c>
      <c r="K187" s="2" t="n">
        <v>104.609180938375</v>
      </c>
      <c r="L187" s="2" t="n">
        <v>107.711733720848</v>
      </c>
      <c r="M187" s="2" t="n">
        <v>105.760818856237</v>
      </c>
    </row>
    <row r="188" customFormat="false" ht="15" hidden="false" customHeight="false" outlineLevel="0" collapsed="false">
      <c r="A188" s="3" t="n">
        <v>44013</v>
      </c>
      <c r="B188" s="2" t="n">
        <v>104.97346998607</v>
      </c>
      <c r="C188" s="2" t="n">
        <v>104.786179461318</v>
      </c>
      <c r="D188" s="2" t="n">
        <v>105.142846889327</v>
      </c>
      <c r="E188" s="2" t="n">
        <v>105.559066985189</v>
      </c>
      <c r="F188" s="2" t="n">
        <v>105.170595496425</v>
      </c>
      <c r="G188" s="2" t="n">
        <v>106.79429556631</v>
      </c>
      <c r="H188" s="2" t="n">
        <v>103.325693602849</v>
      </c>
      <c r="I188" s="2" t="n">
        <v>104.65247131765</v>
      </c>
      <c r="J188" s="2" t="n">
        <v>104.672173392562</v>
      </c>
      <c r="K188" s="2" t="n">
        <v>103.713695917019</v>
      </c>
      <c r="L188" s="2" t="n">
        <v>106.145438024833</v>
      </c>
      <c r="M188" s="2" t="n">
        <v>105.288255371471</v>
      </c>
    </row>
    <row r="189" customFormat="false" ht="15" hidden="false" customHeight="false" outlineLevel="0" collapsed="false">
      <c r="A189" s="3" t="n">
        <v>44044</v>
      </c>
      <c r="B189" s="2" t="n">
        <v>104.633513657926</v>
      </c>
      <c r="C189" s="2" t="n">
        <v>104.516351476761</v>
      </c>
      <c r="D189" s="2" t="n">
        <v>104.739469725114</v>
      </c>
      <c r="E189" s="2" t="n">
        <v>105.129296784464</v>
      </c>
      <c r="F189" s="2" t="n">
        <v>104.829499843089</v>
      </c>
      <c r="G189" s="2" t="n">
        <v>106.495811757546</v>
      </c>
      <c r="H189" s="2" t="n">
        <v>102.867980371462</v>
      </c>
      <c r="I189" s="2" t="n">
        <v>104.433223347735</v>
      </c>
      <c r="J189" s="2" t="n">
        <v>104.528434287367</v>
      </c>
      <c r="K189" s="2" t="n">
        <v>103.200685863961</v>
      </c>
      <c r="L189" s="2" t="n">
        <v>105.546346658744</v>
      </c>
      <c r="M189" s="2" t="n">
        <v>104.941687111389</v>
      </c>
    </row>
    <row r="190" customFormat="false" ht="15" hidden="false" customHeight="false" outlineLevel="0" collapsed="false">
      <c r="A190" s="3" t="n">
        <v>44075</v>
      </c>
      <c r="B190" s="2" t="n">
        <v>104.46970372361</v>
      </c>
      <c r="C190" s="2" t="n">
        <v>104.26329967492</v>
      </c>
      <c r="D190" s="2" t="n">
        <v>104.65636601543</v>
      </c>
      <c r="E190" s="2" t="n">
        <v>105.020053164563</v>
      </c>
      <c r="F190" s="2" t="n">
        <v>104.692496356822</v>
      </c>
      <c r="G190" s="2" t="n">
        <v>106.524696591681</v>
      </c>
      <c r="H190" s="2" t="n">
        <v>102.950744614208</v>
      </c>
      <c r="I190" s="2" t="n">
        <v>104.047607561411</v>
      </c>
      <c r="J190" s="2" t="n">
        <v>104.296110749581</v>
      </c>
      <c r="K190" s="2" t="n">
        <v>102.891579777726</v>
      </c>
      <c r="L190" s="2" t="n">
        <v>105.24907126636</v>
      </c>
      <c r="M190" s="2" t="n">
        <v>104.683873556506</v>
      </c>
    </row>
    <row r="191" customFormat="false" ht="15" hidden="false" customHeight="false" outlineLevel="0" collapsed="false">
      <c r="A191" s="3" t="n">
        <v>44105</v>
      </c>
      <c r="B191" s="2" t="n">
        <v>104.271965054021</v>
      </c>
      <c r="C191" s="2" t="n">
        <v>104.031740231965</v>
      </c>
      <c r="D191" s="2" t="n">
        <v>104.489213291746</v>
      </c>
      <c r="E191" s="2" t="n">
        <v>104.831643807801</v>
      </c>
      <c r="F191" s="2" t="n">
        <v>104.520358026211</v>
      </c>
      <c r="G191" s="2" t="n">
        <v>106.367476342571</v>
      </c>
      <c r="H191" s="2" t="n">
        <v>102.818294863831</v>
      </c>
      <c r="I191" s="2" t="n">
        <v>103.956426426593</v>
      </c>
      <c r="J191" s="2" t="n">
        <v>103.957098062664</v>
      </c>
      <c r="K191" s="2" t="n">
        <v>102.93435690678</v>
      </c>
      <c r="L191" s="2" t="n">
        <v>105.257023048011</v>
      </c>
      <c r="M191" s="2" t="n">
        <v>104.484744731307</v>
      </c>
    </row>
    <row r="192" customFormat="false" ht="15" hidden="false" customHeight="false" outlineLevel="0" collapsed="false">
      <c r="A192" s="3" t="n">
        <v>44136</v>
      </c>
      <c r="B192" s="2" t="n">
        <v>104.262857518503</v>
      </c>
      <c r="C192" s="2" t="n">
        <v>104.047113579439</v>
      </c>
      <c r="D192" s="2" t="n">
        <v>104.457966375949</v>
      </c>
      <c r="E192" s="2" t="n">
        <v>104.86204173081</v>
      </c>
      <c r="F192" s="2" t="n">
        <v>104.453036021158</v>
      </c>
      <c r="G192" s="2" t="n">
        <v>106.291022185045</v>
      </c>
      <c r="H192" s="2" t="n">
        <v>102.632710148251</v>
      </c>
      <c r="I192" s="2" t="n">
        <v>103.913723870513</v>
      </c>
      <c r="J192" s="2" t="n">
        <v>103.980967214118</v>
      </c>
      <c r="K192" s="2" t="n">
        <v>103.225535101276</v>
      </c>
      <c r="L192" s="2" t="n">
        <v>105.191685159266</v>
      </c>
      <c r="M192" s="2" t="n">
        <v>104.261209533305</v>
      </c>
    </row>
    <row r="193" customFormat="false" ht="15" hidden="false" customHeight="false" outlineLevel="0" collapsed="false">
      <c r="A193" s="3" t="n">
        <v>44166</v>
      </c>
      <c r="B193" s="2" t="n">
        <v>104.233025480214</v>
      </c>
      <c r="C193" s="2" t="n">
        <v>103.945307262152</v>
      </c>
      <c r="D193" s="2" t="n">
        <v>104.493224552484</v>
      </c>
      <c r="E193" s="2" t="n">
        <v>105.019215990936</v>
      </c>
      <c r="F193" s="2" t="n">
        <v>104.683548893445</v>
      </c>
      <c r="G193" s="2" t="n">
        <v>106.244342936843</v>
      </c>
      <c r="H193" s="2" t="n">
        <v>102.388564803323</v>
      </c>
      <c r="I193" s="2" t="n">
        <v>103.598801912069</v>
      </c>
      <c r="J193" s="2" t="n">
        <v>103.900248889003</v>
      </c>
      <c r="K193" s="2" t="n">
        <v>103.05863864699</v>
      </c>
      <c r="L193" s="2" t="n">
        <v>105.142658511011</v>
      </c>
      <c r="M193" s="2" t="n">
        <v>104.0889974777</v>
      </c>
    </row>
    <row r="194" customFormat="false" ht="15" hidden="false" customHeight="false" outlineLevel="0" collapsed="false">
      <c r="A194" s="3" t="n">
        <v>44197</v>
      </c>
      <c r="B194" s="2" t="n">
        <v>104.354097393414</v>
      </c>
      <c r="C194" s="2" t="n">
        <v>104.157515291714</v>
      </c>
      <c r="D194" s="2" t="n">
        <v>104.531877169864</v>
      </c>
      <c r="E194" s="2" t="n">
        <v>104.763062054094</v>
      </c>
      <c r="F194" s="2" t="n">
        <v>104.625954256574</v>
      </c>
      <c r="G194" s="2" t="n">
        <v>106.51408283102</v>
      </c>
      <c r="H194" s="2" t="n">
        <v>103.163849604931</v>
      </c>
      <c r="I194" s="2" t="n">
        <v>103.931628614876</v>
      </c>
      <c r="J194" s="2" t="n">
        <v>104.051256045526</v>
      </c>
      <c r="K194" s="2" t="n">
        <v>103.426278241442</v>
      </c>
      <c r="L194" s="2" t="n">
        <v>105.569276719954</v>
      </c>
      <c r="M194" s="2" t="n">
        <v>104.262044238552</v>
      </c>
    </row>
    <row r="195" customFormat="false" ht="15" hidden="false" customHeight="false" outlineLevel="0" collapsed="false">
      <c r="A195" s="3" t="n">
        <v>44228</v>
      </c>
      <c r="B195" s="2" t="n">
        <v>104.442113491474</v>
      </c>
      <c r="C195" s="2" t="n">
        <v>104.163854892995</v>
      </c>
      <c r="D195" s="2" t="n">
        <v>104.693757720551</v>
      </c>
      <c r="E195" s="2" t="n">
        <v>104.870138699617</v>
      </c>
      <c r="F195" s="2" t="n">
        <v>104.864409443299</v>
      </c>
      <c r="G195" s="2" t="n">
        <v>106.583279231417</v>
      </c>
      <c r="H195" s="2" t="n">
        <v>103.493926172835</v>
      </c>
      <c r="I195" s="2" t="n">
        <v>104.130221251365</v>
      </c>
      <c r="J195" s="2" t="n">
        <v>103.988313114515</v>
      </c>
      <c r="K195" s="2" t="n">
        <v>103.682295069613</v>
      </c>
      <c r="L195" s="2" t="n">
        <v>105.758456111777</v>
      </c>
      <c r="M195" s="2" t="n">
        <v>104.198866881701</v>
      </c>
    </row>
    <row r="196" customFormat="false" ht="15" hidden="false" customHeight="false" outlineLevel="0" collapsed="false">
      <c r="A196" s="3" t="n">
        <v>44256</v>
      </c>
      <c r="B196" s="2" t="n">
        <v>104.625301136874</v>
      </c>
      <c r="C196" s="2" t="n">
        <v>104.342873516822</v>
      </c>
      <c r="D196" s="2" t="n">
        <v>104.880715636576</v>
      </c>
      <c r="E196" s="2" t="n">
        <v>105.1797887159</v>
      </c>
      <c r="F196" s="2" t="n">
        <v>105.251928860005</v>
      </c>
      <c r="G196" s="2" t="n">
        <v>106.461430041669</v>
      </c>
      <c r="H196" s="2" t="n">
        <v>103.445205598415</v>
      </c>
      <c r="I196" s="2" t="n">
        <v>104.096691030806</v>
      </c>
      <c r="J196" s="2" t="n">
        <v>104.209124457576</v>
      </c>
      <c r="K196" s="2" t="n">
        <v>103.373944803164</v>
      </c>
      <c r="L196" s="2" t="n">
        <v>106.074990982788</v>
      </c>
      <c r="M196" s="2" t="n">
        <v>104.554139777259</v>
      </c>
    </row>
    <row r="197" customFormat="false" ht="15" hidden="false" customHeight="false" outlineLevel="0" collapsed="false">
      <c r="A197" s="3" t="n">
        <v>44287</v>
      </c>
      <c r="B197" s="2" t="n">
        <v>104.990644223591</v>
      </c>
      <c r="C197" s="2" t="n">
        <v>104.588943797798</v>
      </c>
      <c r="D197" s="2" t="n">
        <v>105.353923541899</v>
      </c>
      <c r="E197" s="2" t="n">
        <v>105.826475290593</v>
      </c>
      <c r="F197" s="2" t="n">
        <v>105.465158202263</v>
      </c>
      <c r="G197" s="2" t="n">
        <v>106.163782612017</v>
      </c>
      <c r="H197" s="2" t="n">
        <v>103.780404059538</v>
      </c>
      <c r="I197" s="2" t="n">
        <v>104.628501801403</v>
      </c>
      <c r="J197" s="2" t="n">
        <v>104.421483198273</v>
      </c>
      <c r="K197" s="2" t="n">
        <v>103.678139671149</v>
      </c>
      <c r="L197" s="2" t="n">
        <v>106.208437876188</v>
      </c>
      <c r="M197" s="2" t="n">
        <v>104.977548333056</v>
      </c>
    </row>
    <row r="198" customFormat="false" ht="15" hidden="false" customHeight="false" outlineLevel="0" collapsed="false">
      <c r="A198" s="3" t="n">
        <v>44317</v>
      </c>
      <c r="B198" s="2" t="n">
        <v>105.078144192329</v>
      </c>
      <c r="C198" s="2" t="n">
        <v>104.606550232606</v>
      </c>
      <c r="D198" s="2" t="n">
        <v>105.504631995691</v>
      </c>
      <c r="E198" s="2" t="n">
        <v>105.899403529949</v>
      </c>
      <c r="F198" s="2" t="n">
        <v>105.609796470854</v>
      </c>
      <c r="G198" s="2" t="n">
        <v>106.328650352685</v>
      </c>
      <c r="H198" s="2" t="n">
        <v>104.029764535988</v>
      </c>
      <c r="I198" s="2" t="n">
        <v>105.146271868119</v>
      </c>
      <c r="J198" s="2" t="n">
        <v>104.362950784357</v>
      </c>
      <c r="K198" s="2" t="n">
        <v>104.014895665888</v>
      </c>
      <c r="L198" s="2" t="n">
        <v>106.445632546409</v>
      </c>
      <c r="M198" s="2" t="n">
        <v>104.862264322317</v>
      </c>
    </row>
    <row r="199" customFormat="false" ht="15" hidden="false" customHeight="false" outlineLevel="0" collapsed="false">
      <c r="A199" s="3" t="n">
        <v>44348</v>
      </c>
      <c r="B199" s="2" t="n">
        <v>104.893612561898</v>
      </c>
      <c r="C199" s="2" t="n">
        <v>104.583828476482</v>
      </c>
      <c r="D199" s="2" t="n">
        <v>105.173766985807</v>
      </c>
      <c r="E199" s="2" t="n">
        <v>105.601322666995</v>
      </c>
      <c r="F199" s="2" t="n">
        <v>105.589326258595</v>
      </c>
      <c r="G199" s="2" t="n">
        <v>106.421832436614</v>
      </c>
      <c r="H199" s="2" t="n">
        <v>103.247418148012</v>
      </c>
      <c r="I199" s="2" t="n">
        <v>104.973935698116</v>
      </c>
      <c r="J199" s="2" t="n">
        <v>104.388258692919</v>
      </c>
      <c r="K199" s="2" t="n">
        <v>103.773765292932</v>
      </c>
      <c r="L199" s="2" t="n">
        <v>106.706800000308</v>
      </c>
      <c r="M199" s="2" t="n">
        <v>104.623256945753</v>
      </c>
    </row>
    <row r="200" customFormat="false" ht="15" hidden="false" customHeight="false" outlineLevel="0" collapsed="false">
      <c r="A200" s="3" t="n">
        <v>44378</v>
      </c>
      <c r="B200" s="2" t="n">
        <v>105.445571730997</v>
      </c>
      <c r="C200" s="2" t="n">
        <v>104.979097971808</v>
      </c>
      <c r="D200" s="2" t="n">
        <v>105.8674290614</v>
      </c>
      <c r="E200" s="2" t="n">
        <v>106.261185113306</v>
      </c>
      <c r="F200" s="2" t="n">
        <v>106.016466640569</v>
      </c>
      <c r="G200" s="2" t="n">
        <v>106.157125083298</v>
      </c>
      <c r="H200" s="2" t="n">
        <v>104.452179551157</v>
      </c>
      <c r="I200" s="2" t="n">
        <v>105.92376260071</v>
      </c>
      <c r="J200" s="2" t="n">
        <v>104.822378494871</v>
      </c>
      <c r="K200" s="2" t="n">
        <v>103.981991785243</v>
      </c>
      <c r="L200" s="2" t="n">
        <v>107.130532955877</v>
      </c>
      <c r="M200" s="2" t="n">
        <v>105.004090522547</v>
      </c>
    </row>
    <row r="201" customFormat="false" ht="15" hidden="false" customHeight="false" outlineLevel="0" collapsed="false">
      <c r="A201" s="3" t="n">
        <v>44409</v>
      </c>
      <c r="B201" s="2" t="n">
        <v>105.567350745434</v>
      </c>
      <c r="C201" s="2" t="n">
        <v>105.191063812075</v>
      </c>
      <c r="D201" s="2" t="n">
        <v>105.907647274542</v>
      </c>
      <c r="E201" s="2" t="n">
        <v>106.355966218201</v>
      </c>
      <c r="F201" s="2" t="n">
        <v>105.929118527241</v>
      </c>
      <c r="G201" s="2" t="n">
        <v>106.399844186844</v>
      </c>
      <c r="H201" s="2" t="n">
        <v>104.291728163161</v>
      </c>
      <c r="I201" s="2" t="n">
        <v>105.938928637425</v>
      </c>
      <c r="J201" s="2" t="n">
        <v>105.055969349442</v>
      </c>
      <c r="K201" s="2" t="n">
        <v>104.180242464619</v>
      </c>
      <c r="L201" s="2" t="n">
        <v>107.322235313948</v>
      </c>
      <c r="M201" s="2" t="n">
        <v>105.149188003128</v>
      </c>
    </row>
    <row r="202" customFormat="false" ht="15" hidden="false" customHeight="false" outlineLevel="0" collapsed="false">
      <c r="A202" s="3" t="n">
        <v>44440</v>
      </c>
      <c r="B202" s="2" t="n">
        <v>105.583909272285</v>
      </c>
      <c r="C202" s="2" t="n">
        <v>105.240003437274</v>
      </c>
      <c r="D202" s="2" t="n">
        <v>105.894921831105</v>
      </c>
      <c r="E202" s="2" t="n">
        <v>106.238759474231</v>
      </c>
      <c r="F202" s="2" t="n">
        <v>106.166655481468</v>
      </c>
      <c r="G202" s="2" t="n">
        <v>106.647583126093</v>
      </c>
      <c r="H202" s="2" t="n">
        <v>104.330563966677</v>
      </c>
      <c r="I202" s="2" t="n">
        <v>106.118031925047</v>
      </c>
      <c r="J202" s="2" t="n">
        <v>104.995426733689</v>
      </c>
      <c r="K202" s="2" t="n">
        <v>104.316966896525</v>
      </c>
      <c r="L202" s="2" t="n">
        <v>107.90202025074</v>
      </c>
      <c r="M202" s="2" t="n">
        <v>105.198513229551</v>
      </c>
    </row>
    <row r="203" customFormat="false" ht="15" hidden="false" customHeight="false" outlineLevel="0" collapsed="false">
      <c r="A203" s="3" t="n">
        <v>44470</v>
      </c>
      <c r="B203" s="2" t="n">
        <v>105.803738133349</v>
      </c>
      <c r="C203" s="2" t="n">
        <v>105.458546853815</v>
      </c>
      <c r="D203" s="2" t="n">
        <v>106.115913188846</v>
      </c>
      <c r="E203" s="2" t="n">
        <v>106.644565843935</v>
      </c>
      <c r="F203" s="2" t="n">
        <v>106.177356433291</v>
      </c>
      <c r="G203" s="2" t="n">
        <v>106.717690856412</v>
      </c>
      <c r="H203" s="2" t="n">
        <v>104.342482943738</v>
      </c>
      <c r="I203" s="2" t="n">
        <v>105.743464144865</v>
      </c>
      <c r="J203" s="2" t="n">
        <v>105.208777702433</v>
      </c>
      <c r="K203" s="2" t="n">
        <v>104.592714241268</v>
      </c>
      <c r="L203" s="2" t="n">
        <v>108.338319512871</v>
      </c>
      <c r="M203" s="2" t="n">
        <v>105.222465371313</v>
      </c>
    </row>
    <row r="204" customFormat="false" ht="15" hidden="false" customHeight="false" outlineLevel="0" collapsed="false">
      <c r="A204" s="3" t="n">
        <v>44501</v>
      </c>
      <c r="B204" s="2" t="n">
        <v>106.184139015753</v>
      </c>
      <c r="C204" s="2" t="n">
        <v>105.95299848531</v>
      </c>
      <c r="D204" s="2" t="n">
        <v>106.393171839572</v>
      </c>
      <c r="E204" s="2" t="n">
        <v>106.699767432985</v>
      </c>
      <c r="F204" s="2" t="n">
        <v>106.298473083192</v>
      </c>
      <c r="G204" s="2" t="n">
        <v>107.025113995191</v>
      </c>
      <c r="H204" s="2" t="n">
        <v>105.303850289362</v>
      </c>
      <c r="I204" s="2" t="n">
        <v>106.140333023675</v>
      </c>
      <c r="J204" s="2" t="n">
        <v>105.979122234902</v>
      </c>
      <c r="K204" s="2" t="n">
        <v>104.673923651136</v>
      </c>
      <c r="L204" s="2" t="n">
        <v>108.466895769599</v>
      </c>
      <c r="M204" s="2" t="n">
        <v>105.170544425075</v>
      </c>
    </row>
    <row r="205" customFormat="false" ht="15" hidden="false" customHeight="false" outlineLevel="0" collapsed="false">
      <c r="A205" s="3" t="n">
        <v>44531</v>
      </c>
      <c r="B205" s="2" t="n">
        <v>106.255853364723</v>
      </c>
      <c r="C205" s="2" t="n">
        <v>106.114073210301</v>
      </c>
      <c r="D205" s="2" t="n">
        <v>106.384072790297</v>
      </c>
      <c r="E205" s="2" t="n">
        <v>106.63455299186</v>
      </c>
      <c r="F205" s="2" t="n">
        <v>106.187397361263</v>
      </c>
      <c r="G205" s="2" t="n">
        <v>106.911271366382</v>
      </c>
      <c r="H205" s="2" t="n">
        <v>105.27040869719</v>
      </c>
      <c r="I205" s="2" t="n">
        <v>106.872117778457</v>
      </c>
      <c r="J205" s="2" t="n">
        <v>106.11060191089</v>
      </c>
      <c r="K205" s="2" t="n">
        <v>105.039078894432</v>
      </c>
      <c r="L205" s="2" t="n">
        <v>108.376513997915</v>
      </c>
      <c r="M205" s="2" t="n">
        <v>105.456180601183</v>
      </c>
    </row>
    <row r="206" customFormat="false" ht="15" hidden="false" customHeight="false" outlineLevel="0" collapsed="false">
      <c r="A206" s="3" t="n">
        <v>44562</v>
      </c>
      <c r="B206" s="2" t="n">
        <v>107.022306333896</v>
      </c>
      <c r="C206" s="2" t="n">
        <v>106.643255903365</v>
      </c>
      <c r="D206" s="2" t="n">
        <v>107.365102042254</v>
      </c>
      <c r="E206" s="2" t="n">
        <v>107.880386979695</v>
      </c>
      <c r="F206" s="2" t="n">
        <v>106.490444445841</v>
      </c>
      <c r="G206" s="2" t="n">
        <v>107.423537298487</v>
      </c>
      <c r="H206" s="2" t="n">
        <v>105.982767673366</v>
      </c>
      <c r="I206" s="2" t="n">
        <v>107.557889204267</v>
      </c>
      <c r="J206" s="2" t="n">
        <v>106.627586225824</v>
      </c>
      <c r="K206" s="2" t="n">
        <v>105.387661465703</v>
      </c>
      <c r="L206" s="2" t="n">
        <v>108.954455777992</v>
      </c>
      <c r="M206" s="2" t="n">
        <v>106.174038704329</v>
      </c>
    </row>
    <row r="207" customFormat="false" ht="15" hidden="false" customHeight="false" outlineLevel="0" collapsed="false">
      <c r="A207" s="3" t="n">
        <v>44593</v>
      </c>
      <c r="B207" s="2" t="n">
        <v>107.271128645889</v>
      </c>
      <c r="C207" s="2" t="n">
        <v>106.97672582478</v>
      </c>
      <c r="D207" s="2" t="n">
        <v>107.537372964523</v>
      </c>
      <c r="E207" s="2" t="n">
        <v>108.010720895633</v>
      </c>
      <c r="F207" s="2" t="n">
        <v>106.6511172916</v>
      </c>
      <c r="G207" s="2" t="n">
        <v>107.818775337776</v>
      </c>
      <c r="H207" s="2" t="n">
        <v>106.221248965437</v>
      </c>
      <c r="I207" s="2" t="n">
        <v>107.657008292575</v>
      </c>
      <c r="J207" s="2" t="n">
        <v>106.922503688936</v>
      </c>
      <c r="K207" s="2" t="n">
        <v>105.911641137073</v>
      </c>
      <c r="L207" s="2" t="n">
        <v>109.50484028991</v>
      </c>
      <c r="M207" s="2" t="n">
        <v>106.333577212106</v>
      </c>
    </row>
    <row r="208" customFormat="false" ht="15" hidden="false" customHeight="false" outlineLevel="0" collapsed="false">
      <c r="A208" s="3" t="n">
        <v>44621</v>
      </c>
      <c r="B208" s="2" t="n">
        <v>107.39173998062</v>
      </c>
      <c r="C208" s="2" t="n">
        <v>107.065036671335</v>
      </c>
      <c r="D208" s="2" t="n">
        <v>107.687195369426</v>
      </c>
      <c r="E208" s="2" t="n">
        <v>108.07219022453</v>
      </c>
      <c r="F208" s="2" t="n">
        <v>106.958705477917</v>
      </c>
      <c r="G208" s="2" t="n">
        <v>108.0134681523</v>
      </c>
      <c r="H208" s="2" t="n">
        <v>106.604326769953</v>
      </c>
      <c r="I208" s="2" t="n">
        <v>107.714209170414</v>
      </c>
      <c r="J208" s="2" t="n">
        <v>106.939480111497</v>
      </c>
      <c r="K208" s="2" t="n">
        <v>106.185878347223</v>
      </c>
      <c r="L208" s="2" t="n">
        <v>109.717042324364</v>
      </c>
      <c r="M208" s="2" t="n">
        <v>106.466099421264</v>
      </c>
    </row>
    <row r="209" customFormat="false" ht="15" hidden="false" customHeight="false" outlineLevel="0" collapsed="false">
      <c r="A209" s="3" t="n">
        <v>44652</v>
      </c>
      <c r="B209" s="2" t="n">
        <v>108.029268737987</v>
      </c>
      <c r="C209" s="2" t="n">
        <v>107.503642813279</v>
      </c>
      <c r="D209" s="2" t="n">
        <v>108.504620555789</v>
      </c>
      <c r="E209" s="2" t="n">
        <v>109.033710225159</v>
      </c>
      <c r="F209" s="2" t="n">
        <v>107.248574018823</v>
      </c>
      <c r="G209" s="2" t="n">
        <v>108.643020634504</v>
      </c>
      <c r="H209" s="2" t="n">
        <v>107.338207275801</v>
      </c>
      <c r="I209" s="2" t="n">
        <v>108.277073723546</v>
      </c>
      <c r="J209" s="2" t="n">
        <v>107.363746253801</v>
      </c>
      <c r="K209" s="2" t="n">
        <v>106.67011131439</v>
      </c>
      <c r="L209" s="2" t="n">
        <v>110.190736455815</v>
      </c>
      <c r="M209" s="2" t="n">
        <v>106.898129162113</v>
      </c>
    </row>
    <row r="210" customFormat="false" ht="15" hidden="false" customHeight="false" outlineLevel="0" collapsed="false">
      <c r="A210" s="3" t="n">
        <v>44682</v>
      </c>
      <c r="B210" s="2" t="n">
        <v>108.631435771839</v>
      </c>
      <c r="C210" s="2" t="n">
        <v>108.066215959252</v>
      </c>
      <c r="D210" s="2" t="n">
        <v>109.142594473762</v>
      </c>
      <c r="E210" s="2" t="n">
        <v>109.539457272206</v>
      </c>
      <c r="F210" s="2" t="n">
        <v>107.681131221329</v>
      </c>
      <c r="G210" s="2" t="n">
        <v>109.386278292758</v>
      </c>
      <c r="H210" s="2" t="n">
        <v>108.398624646897</v>
      </c>
      <c r="I210" s="2" t="n">
        <v>108.952698889242</v>
      </c>
      <c r="J210" s="2" t="n">
        <v>107.80590776683</v>
      </c>
      <c r="K210" s="2" t="n">
        <v>107.361698016654</v>
      </c>
      <c r="L210" s="2" t="n">
        <v>110.550703632523</v>
      </c>
      <c r="M210" s="2" t="n">
        <v>108.019257190622</v>
      </c>
    </row>
    <row r="211" customFormat="false" ht="15" hidden="false" customHeight="false" outlineLevel="0" collapsed="false">
      <c r="A211" s="3" t="n">
        <v>44713</v>
      </c>
      <c r="B211" s="2" t="n">
        <v>109.335611399018</v>
      </c>
      <c r="C211" s="2" t="n">
        <v>108.555942588393</v>
      </c>
      <c r="D211" s="2" t="n">
        <v>110.040707873513</v>
      </c>
      <c r="E211" s="2" t="n">
        <v>110.647979185537</v>
      </c>
      <c r="F211" s="2" t="n">
        <v>108.067414165848</v>
      </c>
      <c r="G211" s="2" t="n">
        <v>110.19070989896</v>
      </c>
      <c r="H211" s="2" t="n">
        <v>108.857597742626</v>
      </c>
      <c r="I211" s="2" t="n">
        <v>109.874852967791</v>
      </c>
      <c r="J211" s="2" t="n">
        <v>108.355721021608</v>
      </c>
      <c r="K211" s="2" t="n">
        <v>107.626307533244</v>
      </c>
      <c r="L211" s="2" t="n">
        <v>110.897772345027</v>
      </c>
      <c r="M211" s="2" t="n">
        <v>108.56550641833</v>
      </c>
    </row>
    <row r="212" customFormat="false" ht="15" hidden="false" customHeight="false" outlineLevel="0" collapsed="false">
      <c r="A212" s="3" t="n">
        <v>44743</v>
      </c>
      <c r="B212" s="2" t="n">
        <v>109.510806797953</v>
      </c>
      <c r="C212" s="2" t="n">
        <v>108.989118572653</v>
      </c>
      <c r="D212" s="2" t="n">
        <v>109.982597542218</v>
      </c>
      <c r="E212" s="2" t="n">
        <v>110.45790281896</v>
      </c>
      <c r="F212" s="2" t="n">
        <v>108.911892667722</v>
      </c>
      <c r="G212" s="2" t="n">
        <v>110.102279456176</v>
      </c>
      <c r="H212" s="2" t="n">
        <v>108.823740707897</v>
      </c>
      <c r="I212" s="2" t="n">
        <v>110.024544074313</v>
      </c>
      <c r="J212" s="2" t="n">
        <v>108.833923707276</v>
      </c>
      <c r="K212" s="2" t="n">
        <v>107.958053802825</v>
      </c>
      <c r="L212" s="2" t="n">
        <v>111.637544943547</v>
      </c>
      <c r="M212" s="2" t="n">
        <v>108.667468599937</v>
      </c>
    </row>
    <row r="213" customFormat="false" ht="15" hidden="false" customHeight="false" outlineLevel="0" collapsed="false">
      <c r="A213" s="3" t="n">
        <v>44774</v>
      </c>
      <c r="B213" s="2" t="n">
        <v>109.54212537178</v>
      </c>
      <c r="C213" s="2" t="n">
        <v>109.11837577051</v>
      </c>
      <c r="D213" s="2" t="n">
        <v>109.925344946364</v>
      </c>
      <c r="E213" s="2" t="n">
        <v>110.414618642521</v>
      </c>
      <c r="F213" s="2" t="n">
        <v>108.663487542391</v>
      </c>
      <c r="G213" s="2" t="n">
        <v>109.912867023257</v>
      </c>
      <c r="H213" s="2" t="n">
        <v>108.904476327784</v>
      </c>
      <c r="I213" s="2" t="n">
        <v>109.814840367602</v>
      </c>
      <c r="J213" s="2" t="n">
        <v>109.145791675623</v>
      </c>
      <c r="K213" s="2" t="n">
        <v>107.916320407431</v>
      </c>
      <c r="L213" s="2" t="n">
        <v>111.135794564221</v>
      </c>
      <c r="M213" s="2" t="n">
        <v>108.628890501564</v>
      </c>
    </row>
    <row r="214" customFormat="false" ht="15" hidden="false" customHeight="false" outlineLevel="0" collapsed="false">
      <c r="A214" s="3" t="n">
        <v>44805</v>
      </c>
      <c r="B214" s="2" t="n">
        <v>109.93309397206</v>
      </c>
      <c r="C214" s="2" t="n">
        <v>109.720730518493</v>
      </c>
      <c r="D214" s="2" t="n">
        <v>110.125145674503</v>
      </c>
      <c r="E214" s="2" t="n">
        <v>110.618705587091</v>
      </c>
      <c r="F214" s="2" t="n">
        <v>108.432055903058</v>
      </c>
      <c r="G214" s="2" t="n">
        <v>110.510584184987</v>
      </c>
      <c r="H214" s="2" t="n">
        <v>108.908611806496</v>
      </c>
      <c r="I214" s="2" t="n">
        <v>110.453323289323</v>
      </c>
      <c r="J214" s="2" t="n">
        <v>109.812156812183</v>
      </c>
      <c r="K214" s="2" t="n">
        <v>108.51287465085</v>
      </c>
      <c r="L214" s="2" t="n">
        <v>111.76026683494</v>
      </c>
      <c r="M214" s="2" t="n">
        <v>108.938775270024</v>
      </c>
    </row>
    <row r="215" customFormat="false" ht="15" hidden="false" customHeight="false" outlineLevel="0" collapsed="false">
      <c r="A215" s="3" t="n">
        <v>44835</v>
      </c>
      <c r="B215" s="2" t="n">
        <v>110.06143636367</v>
      </c>
      <c r="C215" s="2" t="n">
        <v>109.94687410981</v>
      </c>
      <c r="D215" s="2" t="n">
        <v>110.165041176645</v>
      </c>
      <c r="E215" s="2" t="n">
        <v>110.720637462948</v>
      </c>
      <c r="F215" s="2" t="n">
        <v>108.74555072402</v>
      </c>
      <c r="G215" s="2" t="n">
        <v>110.153052088443</v>
      </c>
      <c r="H215" s="2" t="n">
        <v>108.911573323797</v>
      </c>
      <c r="I215" s="2" t="n">
        <v>110.275047762011</v>
      </c>
      <c r="J215" s="2" t="n">
        <v>110.048023235392</v>
      </c>
      <c r="K215" s="2" t="n">
        <v>108.522606395888</v>
      </c>
      <c r="L215" s="2" t="n">
        <v>112.035832089429</v>
      </c>
      <c r="M215" s="2" t="n">
        <v>109.290742862458</v>
      </c>
    </row>
    <row r="216" customFormat="false" ht="15" hidden="false" customHeight="false" outlineLevel="0" collapsed="false">
      <c r="A216" s="3" t="n">
        <v>44866</v>
      </c>
      <c r="B216" s="2" t="n">
        <v>110.05370922841</v>
      </c>
      <c r="C216" s="2" t="n">
        <v>109.917184591433</v>
      </c>
      <c r="D216" s="2" t="n">
        <v>110.177175806657</v>
      </c>
      <c r="E216" s="2" t="n">
        <v>110.776643435047</v>
      </c>
      <c r="F216" s="2" t="n">
        <v>109.214835060788</v>
      </c>
      <c r="G216" s="2" t="n">
        <v>109.950449341233</v>
      </c>
      <c r="H216" s="2" t="n">
        <v>108.61504453684</v>
      </c>
      <c r="I216" s="2" t="n">
        <v>110.561474532051</v>
      </c>
      <c r="J216" s="2" t="n">
        <v>109.99790452261</v>
      </c>
      <c r="K216" s="2" t="n">
        <v>108.486806498905</v>
      </c>
      <c r="L216" s="2" t="n">
        <v>112.241419467711</v>
      </c>
      <c r="M216" s="2" t="n">
        <v>109.18047335696</v>
      </c>
    </row>
    <row r="217" customFormat="false" ht="15" hidden="false" customHeight="false" outlineLevel="0" collapsed="false">
      <c r="A217" s="3" t="n">
        <v>44896</v>
      </c>
      <c r="B217" s="2" t="n">
        <v>110.227316943081</v>
      </c>
      <c r="C217" s="2" t="n">
        <v>110.063293456396</v>
      </c>
      <c r="D217" s="2" t="n">
        <v>110.375652211363</v>
      </c>
      <c r="E217" s="2" t="n">
        <v>110.885475519173</v>
      </c>
      <c r="F217" s="2" t="n">
        <v>109.821177699506</v>
      </c>
      <c r="G217" s="2" t="n">
        <v>110.216757185147</v>
      </c>
      <c r="H217" s="2" t="n">
        <v>108.919851171427</v>
      </c>
      <c r="I217" s="2" t="n">
        <v>110.754594514008</v>
      </c>
      <c r="J217" s="2" t="n">
        <v>110.146298636686</v>
      </c>
      <c r="K217" s="2" t="n">
        <v>108.638703540085</v>
      </c>
      <c r="L217" s="2" t="n">
        <v>112.285039250017</v>
      </c>
      <c r="M217" s="2" t="n">
        <v>109.387791290975</v>
      </c>
    </row>
    <row r="218" customFormat="false" ht="15" hidden="false" customHeight="false" outlineLevel="0" collapsed="false">
      <c r="A218" s="3" t="n">
        <v>44927</v>
      </c>
      <c r="B218" s="2" t="n">
        <v>110.360236749334</v>
      </c>
      <c r="C218" s="2" t="n">
        <v>110.128919871931</v>
      </c>
      <c r="D218" s="2" t="n">
        <v>110.569429053201</v>
      </c>
      <c r="E218" s="2" t="n">
        <v>111.071411391001</v>
      </c>
      <c r="F218" s="2" t="n">
        <v>109.546002618621</v>
      </c>
      <c r="G218" s="2" t="n">
        <v>110.042628530775</v>
      </c>
      <c r="H218" s="2" t="n">
        <v>109.46938331245</v>
      </c>
      <c r="I218" s="2" t="n">
        <v>110.924457899317</v>
      </c>
      <c r="J218" s="2" t="n">
        <v>110.33088345995</v>
      </c>
      <c r="K218" s="2" t="n">
        <v>108.619369712632</v>
      </c>
      <c r="L218" s="2" t="n">
        <v>112.265527178108</v>
      </c>
      <c r="M218" s="2" t="n">
        <v>109.074896086816</v>
      </c>
    </row>
    <row r="219" customFormat="false" ht="15" hidden="false" customHeight="false" outlineLevel="0" collapsed="false">
      <c r="A219" s="3" t="n">
        <v>44958</v>
      </c>
      <c r="B219" s="2" t="n">
        <v>110.380407616705</v>
      </c>
      <c r="C219" s="2" t="n">
        <v>110.036557527453</v>
      </c>
      <c r="D219" s="2" t="n">
        <v>110.691369761634</v>
      </c>
      <c r="E219" s="2" t="n">
        <v>111.285935300304</v>
      </c>
      <c r="F219" s="2" t="n">
        <v>109.314831966927</v>
      </c>
      <c r="G219" s="2" t="n">
        <v>110.244243509013</v>
      </c>
      <c r="H219" s="2" t="n">
        <v>109.553376538388</v>
      </c>
      <c r="I219" s="2" t="n">
        <v>110.62698960492</v>
      </c>
      <c r="J219" s="2" t="n">
        <v>110.110578437557</v>
      </c>
      <c r="K219" s="2" t="n">
        <v>108.628697249287</v>
      </c>
      <c r="L219" s="2" t="n">
        <v>112.479507161463</v>
      </c>
      <c r="M219" s="2" t="n">
        <v>109.219001087308</v>
      </c>
    </row>
    <row r="220" customFormat="false" ht="15" hidden="false" customHeight="false" outlineLevel="0" collapsed="false">
      <c r="A220" s="3" t="n">
        <v>44986</v>
      </c>
      <c r="B220" s="2" t="n">
        <v>110.452138585459</v>
      </c>
      <c r="C220" s="2" t="n">
        <v>110.201067333308</v>
      </c>
      <c r="D220" s="2" t="n">
        <v>110.679195833776</v>
      </c>
      <c r="E220" s="2" t="n">
        <v>111.28512624962</v>
      </c>
      <c r="F220" s="2" t="n">
        <v>109.137244397279</v>
      </c>
      <c r="G220" s="2" t="n">
        <v>110.380566755546</v>
      </c>
      <c r="H220" s="2" t="n">
        <v>109.5083495846</v>
      </c>
      <c r="I220" s="2" t="n">
        <v>110.595592781459</v>
      </c>
      <c r="J220" s="2" t="n">
        <v>110.421470715197</v>
      </c>
      <c r="K220" s="2" t="n">
        <v>108.698250468919</v>
      </c>
      <c r="L220" s="2" t="n">
        <v>112.407845962711</v>
      </c>
      <c r="M220" s="2" t="n">
        <v>109.007026622686</v>
      </c>
    </row>
    <row r="221" customFormat="false" ht="15" hidden="false" customHeight="false" outlineLevel="0" collapsed="false">
      <c r="A221" s="3" t="n">
        <v>45017</v>
      </c>
      <c r="B221" s="2" t="n">
        <v>110.668865019608</v>
      </c>
      <c r="C221" s="2" t="n">
        <v>110.290182684764</v>
      </c>
      <c r="D221" s="2" t="n">
        <v>111.011327839223</v>
      </c>
      <c r="E221" s="2" t="n">
        <v>111.584265387757</v>
      </c>
      <c r="F221" s="2" t="n">
        <v>109.614928469457</v>
      </c>
      <c r="G221" s="2" t="n">
        <v>110.160691013573</v>
      </c>
      <c r="H221" s="2" t="n">
        <v>110.076453330061</v>
      </c>
      <c r="I221" s="2" t="n">
        <v>111.061031218304</v>
      </c>
      <c r="J221" s="2" t="n">
        <v>110.374282004273</v>
      </c>
      <c r="K221" s="2" t="n">
        <v>108.94880333995</v>
      </c>
      <c r="L221" s="2" t="n">
        <v>112.612525427001</v>
      </c>
      <c r="M221" s="2" t="n">
        <v>109.455486399438</v>
      </c>
    </row>
    <row r="222" customFormat="false" ht="15" hidden="false" customHeight="false" outlineLevel="0" collapsed="false">
      <c r="A222" s="3" t="n">
        <v>45047</v>
      </c>
      <c r="B222" s="2" t="n">
        <v>110.767591152824</v>
      </c>
      <c r="C222" s="2" t="n">
        <v>110.238911389462</v>
      </c>
      <c r="D222" s="2" t="n">
        <v>111.245704721307</v>
      </c>
      <c r="E222" s="2" t="n">
        <v>111.787190435178</v>
      </c>
      <c r="F222" s="2" t="n">
        <v>109.928305289917</v>
      </c>
      <c r="G222" s="2" t="n">
        <v>109.741053202351</v>
      </c>
      <c r="H222" s="2" t="n">
        <v>110.59906506125</v>
      </c>
      <c r="I222" s="2" t="n">
        <v>111.455253430253</v>
      </c>
      <c r="J222" s="2" t="n">
        <v>110.443276212015</v>
      </c>
      <c r="K222" s="2" t="n">
        <v>108.546787552851</v>
      </c>
      <c r="L222" s="2" t="n">
        <v>112.640321506396</v>
      </c>
      <c r="M222" s="2" t="n">
        <v>109.149455818462</v>
      </c>
    </row>
    <row r="223" customFormat="false" ht="15" hidden="false" customHeight="false" outlineLevel="0" collapsed="false">
      <c r="A223" s="3" t="n">
        <v>45078</v>
      </c>
      <c r="B223" s="2" t="n">
        <v>111.181541477615</v>
      </c>
      <c r="C223" s="2" t="n">
        <v>110.54361500693</v>
      </c>
      <c r="D223" s="2" t="n">
        <v>111.758452724207</v>
      </c>
      <c r="E223" s="2" t="n">
        <v>112.270457282492</v>
      </c>
      <c r="F223" s="2" t="n">
        <v>110.119707719983</v>
      </c>
      <c r="G223" s="2" t="n">
        <v>110.678580076964</v>
      </c>
      <c r="H223" s="2" t="n">
        <v>111.305393705644</v>
      </c>
      <c r="I223" s="2" t="n">
        <v>111.515615895639</v>
      </c>
      <c r="J223" s="2" t="n">
        <v>110.676165673735</v>
      </c>
      <c r="K223" s="2" t="n">
        <v>108.658741846437</v>
      </c>
      <c r="L223" s="2" t="n">
        <v>113.005270410446</v>
      </c>
      <c r="M223" s="2" t="n">
        <v>109.907869753059</v>
      </c>
    </row>
    <row r="224" customFormat="false" ht="15" hidden="false" customHeight="false" outlineLevel="0" collapsed="false">
      <c r="A224" s="3" t="n">
        <v>45108</v>
      </c>
      <c r="B224" s="2" t="n">
        <v>111.780858152468</v>
      </c>
      <c r="C224" s="2" t="n">
        <v>110.998739753023</v>
      </c>
      <c r="D224" s="2" t="n">
        <v>112.488169921992</v>
      </c>
      <c r="E224" s="2" t="n">
        <v>113.168184410158</v>
      </c>
      <c r="F224" s="2" t="n">
        <v>110.639047947091</v>
      </c>
      <c r="G224" s="2" t="n">
        <v>111.042670249414</v>
      </c>
      <c r="H224" s="2" t="n">
        <v>111.746443639703</v>
      </c>
      <c r="I224" s="2" t="n">
        <v>112.243345151485</v>
      </c>
      <c r="J224" s="2" t="n">
        <v>111.104845872084</v>
      </c>
      <c r="K224" s="2" t="n">
        <v>109.432594136195</v>
      </c>
      <c r="L224" s="2" t="n">
        <v>113.355445154777</v>
      </c>
      <c r="M224" s="2" t="n">
        <v>110.255076120051</v>
      </c>
    </row>
    <row r="225" customFormat="false" ht="15" hidden="false" customHeight="false" outlineLevel="0" collapsed="false">
      <c r="A225" s="3" t="n">
        <v>45139</v>
      </c>
      <c r="B225" s="2" t="n">
        <v>112.343081099914</v>
      </c>
      <c r="C225" s="2" t="n">
        <v>111.388817051998</v>
      </c>
      <c r="D225" s="2" t="n">
        <v>113.206073445835</v>
      </c>
      <c r="E225" s="2" t="n">
        <v>114.011560906743</v>
      </c>
      <c r="F225" s="2" t="n">
        <v>111.136675521775</v>
      </c>
      <c r="G225" s="2" t="n">
        <v>111.655534310406</v>
      </c>
      <c r="H225" s="2" t="n">
        <v>112.205702845241</v>
      </c>
      <c r="I225" s="2" t="n">
        <v>112.943011795678</v>
      </c>
      <c r="J225" s="2" t="n">
        <v>111.376698414759</v>
      </c>
      <c r="K225" s="2" t="n">
        <v>110.10497917519</v>
      </c>
      <c r="L225" s="2" t="n">
        <v>113.693583358907</v>
      </c>
      <c r="M225" s="2" t="n">
        <v>110.93563614717</v>
      </c>
    </row>
    <row r="226" customFormat="false" ht="15" hidden="false" customHeight="false" outlineLevel="0" collapsed="false">
      <c r="A226" s="3" t="n">
        <v>45170</v>
      </c>
      <c r="B226" s="2" t="n">
        <v>112.385606673683</v>
      </c>
      <c r="C226" s="2" t="n">
        <v>111.36789825307</v>
      </c>
      <c r="D226" s="2" t="n">
        <v>113.305975181</v>
      </c>
      <c r="E226" s="2" t="n">
        <v>114.126840522307</v>
      </c>
      <c r="F226" s="2" t="n">
        <v>111.549346911668</v>
      </c>
      <c r="G226" s="2" t="n">
        <v>111.673004316141</v>
      </c>
      <c r="H226" s="2" t="n">
        <v>111.938426625006</v>
      </c>
      <c r="I226" s="2" t="n">
        <v>113.692694710158</v>
      </c>
      <c r="J226" s="2" t="n">
        <v>111.423741897866</v>
      </c>
      <c r="K226" s="2" t="n">
        <v>110.19978244682</v>
      </c>
      <c r="L226" s="2" t="n">
        <v>113.832438316529</v>
      </c>
      <c r="M226" s="2" t="n">
        <v>110.386340812476</v>
      </c>
    </row>
    <row r="227" customFormat="false" ht="15" hidden="false" customHeight="false" outlineLevel="0" collapsed="false">
      <c r="A227" s="3" t="n">
        <v>45200</v>
      </c>
      <c r="B227" s="2" t="n">
        <v>112.188911619948</v>
      </c>
      <c r="C227" s="2" t="n">
        <v>111.260386201641</v>
      </c>
      <c r="D227" s="2" t="n">
        <v>113.028627137619</v>
      </c>
      <c r="E227" s="2" t="n">
        <v>113.913476778126</v>
      </c>
      <c r="F227" s="2" t="n">
        <v>111.469543802122</v>
      </c>
      <c r="G227" s="2" t="n">
        <v>111.518529764387</v>
      </c>
      <c r="H227" s="2" t="n">
        <v>111.262338241218</v>
      </c>
      <c r="I227" s="2" t="n">
        <v>113.624576280345</v>
      </c>
      <c r="J227" s="2" t="n">
        <v>111.434266521868</v>
      </c>
      <c r="K227" s="2" t="n">
        <v>109.709737522546</v>
      </c>
      <c r="L227" s="2" t="n">
        <v>113.731053041717</v>
      </c>
      <c r="M227" s="2" t="n">
        <v>110.118691394928</v>
      </c>
    </row>
    <row r="228" customFormat="false" ht="15" hidden="false" customHeight="false" outlineLevel="0" collapsed="false">
      <c r="A228" s="3" t="n">
        <v>45231</v>
      </c>
      <c r="B228" s="2" t="n">
        <v>111.741053926941</v>
      </c>
      <c r="C228" s="2" t="n">
        <v>110.907740844136</v>
      </c>
      <c r="D228" s="2" t="n">
        <v>112.494663804402</v>
      </c>
      <c r="E228" s="2" t="n">
        <v>113.361766890943</v>
      </c>
      <c r="F228" s="2" t="n">
        <v>111.216890638276</v>
      </c>
      <c r="G228" s="2" t="n">
        <v>110.959612856326</v>
      </c>
      <c r="H228" s="2" t="n">
        <v>110.646197167945</v>
      </c>
      <c r="I228" s="2" t="n">
        <v>113.219271840215</v>
      </c>
      <c r="J228" s="2" t="n">
        <v>111.182620234308</v>
      </c>
      <c r="K228" s="2" t="n">
        <v>108.790113705416</v>
      </c>
      <c r="L228" s="2" t="n">
        <v>113.330159348011</v>
      </c>
      <c r="M228" s="2" t="n">
        <v>109.896749977888</v>
      </c>
    </row>
    <row r="229" customFormat="false" ht="15" hidden="false" customHeight="false" outlineLevel="0" collapsed="false">
      <c r="A229" s="3" t="n">
        <v>45261</v>
      </c>
      <c r="B229" s="2" t="n">
        <v>111.715101416755</v>
      </c>
      <c r="C229" s="2" t="n">
        <v>111.016013810986</v>
      </c>
      <c r="D229" s="2" t="n">
        <v>112.347323970065</v>
      </c>
      <c r="E229" s="2" t="n">
        <v>113.240081616359</v>
      </c>
      <c r="F229" s="2" t="n">
        <v>111.144068598112</v>
      </c>
      <c r="G229" s="2" t="n">
        <v>110.806411954361</v>
      </c>
      <c r="H229" s="2" t="n">
        <v>110.373428420489</v>
      </c>
      <c r="I229" s="2" t="n">
        <v>113.131149884827</v>
      </c>
      <c r="J229" s="2" t="n">
        <v>111.422128988913</v>
      </c>
      <c r="K229" s="2" t="n">
        <v>108.669603637394</v>
      </c>
      <c r="L229" s="2" t="n">
        <v>113.256327796142</v>
      </c>
      <c r="M229" s="2" t="n">
        <v>109.781768407238</v>
      </c>
    </row>
    <row r="230" customFormat="false" ht="15" hidden="false" customHeight="false" outlineLevel="0" collapsed="false">
      <c r="A230" s="3" t="n">
        <v>45292</v>
      </c>
      <c r="B230" s="2" t="n">
        <v>111.855131486751</v>
      </c>
      <c r="C230" s="2" t="n">
        <v>110.869794361252</v>
      </c>
      <c r="D230" s="2" t="n">
        <v>112.746224889373</v>
      </c>
      <c r="E230" s="2" t="n">
        <v>113.401577751597</v>
      </c>
      <c r="F230" s="2" t="n">
        <v>112.459209103876</v>
      </c>
      <c r="G230" s="2" t="n">
        <v>111.327404761527</v>
      </c>
      <c r="H230" s="2" t="n">
        <v>111.104529490977</v>
      </c>
      <c r="I230" s="2" t="n">
        <v>113.600478719396</v>
      </c>
      <c r="J230" s="2" t="n">
        <v>111.159342477901</v>
      </c>
      <c r="K230" s="2" t="n">
        <v>108.861823536029</v>
      </c>
      <c r="L230" s="2" t="n">
        <v>113.402652222283</v>
      </c>
      <c r="M230" s="2" t="n">
        <v>109.607436534995</v>
      </c>
    </row>
    <row r="231" customFormat="false" ht="15" hidden="false" customHeight="false" outlineLevel="0" collapsed="false">
      <c r="A231" s="3" t="n">
        <v>45323</v>
      </c>
      <c r="B231" s="2" t="n">
        <v>111.958952108953</v>
      </c>
      <c r="C231" s="2" t="n">
        <v>111.126930390605</v>
      </c>
      <c r="D231" s="2" t="n">
        <v>112.711394136023</v>
      </c>
      <c r="E231" s="2" t="n">
        <v>113.520979894002</v>
      </c>
      <c r="F231" s="2" t="n">
        <v>112.034124290238</v>
      </c>
      <c r="G231" s="2" t="n">
        <v>111.07400604595</v>
      </c>
      <c r="H231" s="2" t="n">
        <v>110.885215047101</v>
      </c>
      <c r="I231" s="2" t="n">
        <v>113.402018740492</v>
      </c>
      <c r="J231" s="2" t="n">
        <v>111.361254137395</v>
      </c>
      <c r="K231" s="2" t="n">
        <v>109.217939885557</v>
      </c>
      <c r="L231" s="2" t="n">
        <v>113.835466561822</v>
      </c>
      <c r="M231" s="2" t="n">
        <v>109.881768743691</v>
      </c>
    </row>
    <row r="232" customFormat="false" ht="15" hidden="false" customHeight="false" outlineLevel="0" collapsed="false">
      <c r="A232" s="3" t="n">
        <v>45352</v>
      </c>
      <c r="B232" s="2" t="n">
        <v>112.281439749787</v>
      </c>
      <c r="C232" s="2" t="n">
        <v>111.11835396651</v>
      </c>
      <c r="D232" s="2" t="n">
        <v>113.333280831728</v>
      </c>
      <c r="E232" s="2" t="n">
        <v>114.031231834299</v>
      </c>
      <c r="F232" s="2" t="n">
        <v>112.521794889294</v>
      </c>
      <c r="G232" s="2" t="n">
        <v>111.296383555307</v>
      </c>
      <c r="H232" s="2" t="n">
        <v>112.023758505762</v>
      </c>
      <c r="I232" s="2" t="n">
        <v>114.14735778114</v>
      </c>
      <c r="J232" s="2" t="n">
        <v>111.171351939722</v>
      </c>
      <c r="K232" s="2" t="n">
        <v>109.408192065892</v>
      </c>
      <c r="L232" s="2" t="n">
        <v>114.102674905143</v>
      </c>
      <c r="M232" s="2" t="n">
        <v>110.274961146312</v>
      </c>
    </row>
    <row r="233" customFormat="false" ht="15" hidden="false" customHeight="false" outlineLevel="0" collapsed="false">
      <c r="A233" s="3" t="n">
        <v>45383</v>
      </c>
      <c r="B233" s="2" t="n">
        <v>113.710894638438</v>
      </c>
      <c r="C233" s="2" t="n">
        <v>112.492029795401</v>
      </c>
      <c r="D233" s="2" t="n">
        <v>114.813179726668</v>
      </c>
      <c r="E233" s="2" t="n">
        <v>115.673554164913</v>
      </c>
      <c r="F233" s="2" t="n">
        <v>113.431579465132</v>
      </c>
      <c r="G233" s="2" t="n">
        <v>112.733488851466</v>
      </c>
      <c r="H233" s="2" t="n">
        <v>113.406478737452</v>
      </c>
      <c r="I233" s="2" t="n">
        <v>115.133591790747</v>
      </c>
      <c r="J233" s="2" t="n">
        <v>112.720606096787</v>
      </c>
      <c r="K233" s="2" t="n">
        <v>110.606441178043</v>
      </c>
      <c r="L233" s="2" t="n">
        <v>115.639681994485</v>
      </c>
      <c r="M233" s="2" t="n">
        <v>110.921049787948</v>
      </c>
    </row>
    <row r="234" customFormat="false" ht="15" hidden="false" customHeight="false" outlineLevel="0" collapsed="false">
      <c r="A234" s="3" t="n">
        <v>45413</v>
      </c>
      <c r="B234" s="2" t="n">
        <v>113.575358026089</v>
      </c>
      <c r="C234" s="2" t="n">
        <v>112.420941328838</v>
      </c>
      <c r="D234" s="2" t="n">
        <v>114.619359186885</v>
      </c>
      <c r="E234" s="2" t="n">
        <v>115.485231487767</v>
      </c>
      <c r="F234" s="2" t="n">
        <v>113.288076438172</v>
      </c>
      <c r="G234" s="2" t="n">
        <v>112.515949996749</v>
      </c>
      <c r="H234" s="2" t="n">
        <v>113.213589590455</v>
      </c>
      <c r="I234" s="2" t="n">
        <v>114.871725364609</v>
      </c>
      <c r="J234" s="2" t="n">
        <v>112.678968863037</v>
      </c>
      <c r="K234" s="2" t="n">
        <v>110.630223633069</v>
      </c>
      <c r="L234" s="2" t="n">
        <v>115.347720866292</v>
      </c>
      <c r="M234" s="2" t="n">
        <v>110.795770687733</v>
      </c>
    </row>
    <row r="235" customFormat="false" ht="15" hidden="false" customHeight="false" outlineLevel="0" collapsed="false">
      <c r="A235" s="3" t="n">
        <v>45444</v>
      </c>
      <c r="B235" s="2" t="n">
        <v>112.494039825892</v>
      </c>
      <c r="C235" s="2" t="n">
        <v>111.622960683354</v>
      </c>
      <c r="D235" s="2" t="n">
        <v>113.281803584092</v>
      </c>
      <c r="E235" s="2" t="n">
        <v>113.89746773123</v>
      </c>
      <c r="F235" s="2" t="n">
        <v>112.49761594849</v>
      </c>
      <c r="G235" s="2" t="n">
        <v>111.317594127762</v>
      </c>
      <c r="H235" s="2" t="n">
        <v>111.798791387037</v>
      </c>
      <c r="I235" s="2" t="n">
        <v>115.126021427018</v>
      </c>
      <c r="J235" s="2" t="n">
        <v>111.531657208002</v>
      </c>
      <c r="K235" s="2" t="n">
        <v>110.668587473784</v>
      </c>
      <c r="L235" s="2" t="n">
        <v>115.214313122219</v>
      </c>
      <c r="M235" s="2" t="n">
        <v>110.241402850956</v>
      </c>
    </row>
    <row r="236" customFormat="false" ht="15" hidden="false" customHeight="false" outlineLevel="0" collapsed="false">
      <c r="A236" s="3" t="n">
        <v>45474</v>
      </c>
      <c r="B236" s="2" t="n">
        <v>113.540676380544</v>
      </c>
      <c r="C236" s="2" t="n">
        <v>112.531172706655</v>
      </c>
      <c r="D236" s="2" t="n">
        <v>114.453624893743</v>
      </c>
      <c r="E236" s="2" t="n">
        <v>115.510775667621</v>
      </c>
      <c r="F236" s="2" t="n">
        <v>113.397995567734</v>
      </c>
      <c r="G236" s="2" t="n">
        <v>112.704435744273</v>
      </c>
      <c r="H236" s="2" t="n">
        <v>112.364646733959</v>
      </c>
      <c r="I236" s="2" t="n">
        <v>114.288916596995</v>
      </c>
      <c r="J236" s="2" t="n">
        <v>112.739353146484</v>
      </c>
      <c r="K236" s="2" t="n">
        <v>110.126159191444</v>
      </c>
      <c r="L236" s="2" t="n">
        <v>116.308243136769</v>
      </c>
      <c r="M236" s="2" t="n">
        <v>111.071918261592</v>
      </c>
    </row>
    <row r="237" customFormat="false" ht="15" hidden="false" customHeight="false" outlineLevel="0" collapsed="false">
      <c r="A237" s="3" t="n">
        <v>45505</v>
      </c>
      <c r="B237" s="2" t="n">
        <v>113.78625520598</v>
      </c>
      <c r="C237" s="2" t="n">
        <v>112.879179150107</v>
      </c>
      <c r="D237" s="2" t="n">
        <v>114.606572910599</v>
      </c>
      <c r="E237" s="2" t="n">
        <v>115.311887184189</v>
      </c>
      <c r="F237" s="2" t="n">
        <v>113.440855609047</v>
      </c>
      <c r="G237" s="2" t="n">
        <v>112.96158159951</v>
      </c>
      <c r="H237" s="2" t="n">
        <v>113.276315999529</v>
      </c>
      <c r="I237" s="2" t="n">
        <v>115.303321472887</v>
      </c>
      <c r="J237" s="2" t="n">
        <v>113.047289772723</v>
      </c>
      <c r="K237" s="2" t="n">
        <v>110.987772841162</v>
      </c>
      <c r="L237" s="2" t="n">
        <v>116.35315487149</v>
      </c>
      <c r="M237" s="2" t="n">
        <v>111.335172974319</v>
      </c>
    </row>
    <row r="238" customFormat="false" ht="15" hidden="false" customHeight="false" outlineLevel="0" collapsed="false">
      <c r="A238" s="3" t="n">
        <v>45536</v>
      </c>
      <c r="B238" s="2" t="n">
        <v>113.986808243733</v>
      </c>
      <c r="C238" s="2" t="n">
        <v>113.163699223154</v>
      </c>
      <c r="D238" s="2" t="n">
        <v>114.731190038445</v>
      </c>
      <c r="E238" s="2" t="n">
        <v>115.66554653796</v>
      </c>
      <c r="F238" s="2" t="n">
        <v>113.852835645735</v>
      </c>
      <c r="G238" s="2" t="n">
        <v>112.819027648863</v>
      </c>
      <c r="H238" s="2" t="n">
        <v>112.898111461515</v>
      </c>
      <c r="I238" s="2" t="n">
        <v>114.914374157727</v>
      </c>
      <c r="J238" s="2" t="n">
        <v>113.346228877226</v>
      </c>
      <c r="K238" s="2" t="n">
        <v>111.170750587999</v>
      </c>
      <c r="L238" s="2" t="n">
        <v>116.731022933923</v>
      </c>
      <c r="M238" s="2" t="n">
        <v>111.582853026755</v>
      </c>
    </row>
    <row r="239" customFormat="false" ht="15" hidden="false" customHeight="false" outlineLevel="0" collapsed="false">
      <c r="A239" s="3" t="n">
        <v>45566</v>
      </c>
      <c r="B239" s="2" t="n">
        <v>113.715195605386</v>
      </c>
      <c r="C239" s="2" t="n">
        <v>113.014744247784</v>
      </c>
      <c r="D239" s="2" t="n">
        <v>114.34865147289</v>
      </c>
      <c r="E239" s="2" t="n">
        <v>115.253858752496</v>
      </c>
      <c r="F239" s="2" t="n">
        <v>113.352304937925</v>
      </c>
      <c r="G239" s="2" t="n">
        <v>112.802326631313</v>
      </c>
      <c r="H239" s="2" t="n">
        <v>112.438596219547</v>
      </c>
      <c r="I239" s="2" t="n">
        <v>114.672139482516</v>
      </c>
      <c r="J239" s="2" t="n">
        <v>113.141215759987</v>
      </c>
      <c r="K239" s="2" t="n">
        <v>110.658236007858</v>
      </c>
      <c r="L239" s="2" t="n">
        <v>116.455639732269</v>
      </c>
      <c r="M239" s="2" t="n">
        <v>112.120401146109</v>
      </c>
    </row>
    <row r="240" customFormat="false" ht="15" hidden="false" customHeight="false" outlineLevel="0" collapsed="false">
      <c r="A240" s="3" t="n">
        <v>45597</v>
      </c>
      <c r="B240" s="2" t="n">
        <v>113.424094792498</v>
      </c>
      <c r="C240" s="2" t="n">
        <v>112.708312752043</v>
      </c>
      <c r="D240" s="2" t="n">
        <v>114.071415021745</v>
      </c>
      <c r="E240" s="2" t="n">
        <v>114.864543839022</v>
      </c>
      <c r="F240" s="2" t="n">
        <v>112.812622956637</v>
      </c>
      <c r="G240" s="2" t="n">
        <v>112.71033196147</v>
      </c>
      <c r="H240" s="2" t="n">
        <v>112.414558242691</v>
      </c>
      <c r="I240" s="2" t="n">
        <v>114.679769979553</v>
      </c>
      <c r="J240" s="2" t="n">
        <v>112.955875035996</v>
      </c>
      <c r="K240" s="2" t="n">
        <v>110.744443839111</v>
      </c>
      <c r="L240" s="2" t="n">
        <v>116.187704200316</v>
      </c>
      <c r="M240" s="2" t="n">
        <v>110.879784430161</v>
      </c>
    </row>
    <row r="241" customFormat="false" ht="15" hidden="false" customHeight="false" outlineLevel="0" collapsed="false">
      <c r="A241" s="3" t="n">
        <v>45627</v>
      </c>
      <c r="B241" s="2" t="n">
        <v>112.306263779542</v>
      </c>
      <c r="C241" s="2" t="n">
        <v>112.492824769682</v>
      </c>
      <c r="D241" s="2" t="n">
        <v>112.137546633707</v>
      </c>
      <c r="E241" s="2" t="n">
        <v>112.789691605983</v>
      </c>
      <c r="F241" s="2" t="n">
        <v>111.181568393927</v>
      </c>
      <c r="G241" s="2" t="n">
        <v>110.482643666171</v>
      </c>
      <c r="H241" s="2" t="n">
        <v>110.22212599435</v>
      </c>
      <c r="I241" s="2" t="n">
        <v>114.642109728075</v>
      </c>
      <c r="J241" s="2" t="n">
        <v>113.272931078945</v>
      </c>
      <c r="K241" s="2" t="n">
        <v>109.702240556898</v>
      </c>
      <c r="L241" s="2" t="n">
        <v>115.319688913987</v>
      </c>
      <c r="M241" s="2" t="n">
        <v>109.597034694418</v>
      </c>
    </row>
    <row r="242" customFormat="false" ht="15" hidden="false" customHeight="false" outlineLevel="0" collapsed="false">
      <c r="A242" s="3" t="n">
        <v>45658</v>
      </c>
      <c r="B242" s="2" t="n">
        <v>112.142179775368</v>
      </c>
      <c r="C242" s="2" t="n">
        <v>111.912304641434</v>
      </c>
      <c r="D242" s="2" t="n">
        <v>112.350068233009</v>
      </c>
      <c r="E242" s="2" t="n">
        <v>113.07832185693</v>
      </c>
      <c r="F242" s="2" t="n">
        <v>111.70488956785</v>
      </c>
      <c r="G242" s="2" t="n">
        <v>110.371532336589</v>
      </c>
      <c r="H242" s="2" t="n">
        <v>110.743201174631</v>
      </c>
      <c r="I242" s="2" t="n">
        <v>113.48328082572</v>
      </c>
      <c r="J242" s="2" t="n">
        <v>112.41861115</v>
      </c>
      <c r="K242" s="2" t="n">
        <v>109.264748280066</v>
      </c>
      <c r="L242" s="2" t="n">
        <v>115.15282074912</v>
      </c>
      <c r="M242" s="2" t="n">
        <v>109.774596644682</v>
      </c>
    </row>
  </sheetData>
  <autoFilter ref="A1:C24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L4" activeCellId="0" sqref="L4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3.15"/>
    <col collapsed="false" customWidth="true" hidden="false" outlineLevel="0" max="2" min="2" style="2" width="18.71"/>
    <col collapsed="false" customWidth="true" hidden="false" outlineLevel="0" max="3" min="3" style="2" width="16.14"/>
    <col collapsed="false" customWidth="true" hidden="false" outlineLevel="0" max="4" min="4" style="2" width="15.71"/>
    <col collapsed="false" customWidth="true" hidden="false" outlineLevel="0" max="5" min="5" style="2" width="20.29"/>
    <col collapsed="false" customWidth="true" hidden="false" outlineLevel="0" max="6" min="6" style="2" width="21.43"/>
    <col collapsed="false" customWidth="true" hidden="false" outlineLevel="0" max="7" min="7" style="2" width="18.71"/>
    <col collapsed="false" customWidth="true" hidden="false" outlineLevel="0" max="8" min="8" style="2" width="16.84"/>
    <col collapsed="false" customWidth="true" hidden="false" outlineLevel="0" max="9" min="9" style="2" width="23.29"/>
    <col collapsed="false" customWidth="true" hidden="false" outlineLevel="0" max="10" min="10" style="2" width="16.14"/>
    <col collapsed="false" customWidth="true" hidden="false" outlineLevel="0" max="11" min="11" style="2" width="14.71"/>
    <col collapsed="false" customWidth="true" hidden="false" outlineLevel="0" max="12" min="12" style="2" width="17.71"/>
    <col collapsed="false" customWidth="true" hidden="false" outlineLevel="0" max="13" min="13" style="2" width="18.29"/>
  </cols>
  <sheetData>
    <row r="3" customFormat="false" ht="15" hidden="false" customHeight="false" outlineLevel="0" collapsed="false">
      <c r="A3" s="4" t="s">
        <v>22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customFormat="false" ht="15" hidden="false" customHeight="false" outlineLevel="0" collapsed="false">
      <c r="A4" s="7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9" t="s">
        <v>34</v>
      </c>
    </row>
    <row r="5" customFormat="false" ht="15" hidden="false" customHeight="false" outlineLevel="0" collapsed="false">
      <c r="A5" s="10" t="n">
        <v>95.111424998237</v>
      </c>
      <c r="B5" s="11" t="n">
        <v>94.7227170660203</v>
      </c>
      <c r="C5" s="11" t="n">
        <v>95.5068639806686</v>
      </c>
      <c r="D5" s="11" t="n">
        <v>96.0699477188035</v>
      </c>
      <c r="E5" s="11" t="n">
        <v>95.6051443965231</v>
      </c>
      <c r="F5" s="11" t="n">
        <v>94.6887905946288</v>
      </c>
      <c r="G5" s="11" t="n">
        <v>94.1209280228821</v>
      </c>
      <c r="H5" s="11" t="n">
        <v>107.402540453142</v>
      </c>
      <c r="I5" s="11" t="n">
        <v>94.8951129373026</v>
      </c>
      <c r="J5" s="11" t="n">
        <v>94.2443956627089</v>
      </c>
      <c r="K5" s="11" t="n">
        <v>95.8295084541502</v>
      </c>
      <c r="L5" s="12" t="n">
        <v>93.8641716675002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0" colorId="64" zoomScale="160" zoomScaleNormal="160" zoomScalePageLayoutView="100" workbookViewId="0">
      <selection pane="topLeft" activeCell="G28" activeCellId="0" sqref="G28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9.29"/>
    <col collapsed="false" customWidth="true" hidden="false" outlineLevel="0" max="5" min="2" style="2" width="12"/>
    <col collapsed="false" customWidth="true" hidden="false" outlineLevel="0" max="6" min="6" style="2" width="11"/>
    <col collapsed="false" customWidth="true" hidden="false" outlineLevel="0" max="7" min="7" style="2" width="8.29"/>
    <col collapsed="false" customWidth="true" hidden="false" outlineLevel="0" max="8" min="8" style="2" width="6.57"/>
    <col collapsed="false" customWidth="true" hidden="false" outlineLevel="0" max="9" min="9" style="2" width="12.86"/>
    <col collapsed="false" customWidth="true" hidden="false" outlineLevel="0" max="10" min="10" style="2" width="12"/>
    <col collapsed="false" customWidth="true" hidden="false" outlineLevel="0" max="11" min="11" style="2" width="12.15"/>
    <col collapsed="false" customWidth="true" hidden="false" outlineLevel="0" max="13" min="12" style="2" width="12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21</v>
      </c>
      <c r="J1" s="2" t="s">
        <v>10</v>
      </c>
      <c r="K1" s="2" t="s">
        <v>11</v>
      </c>
      <c r="L1" s="2" t="s">
        <v>12</v>
      </c>
      <c r="M1" s="2" t="s">
        <v>13</v>
      </c>
    </row>
    <row r="2" customFormat="false" ht="15" hidden="false" customHeight="false" outlineLevel="0" collapsed="false">
      <c r="A2" s="2" t="n">
        <v>1990</v>
      </c>
      <c r="B2" s="2" t="n">
        <v>1.69188086909293</v>
      </c>
      <c r="E2" s="2" t="n">
        <v>1.85728369814739</v>
      </c>
      <c r="J2" s="2" t="n">
        <v>1.65592285811288</v>
      </c>
      <c r="L2" s="2" t="n">
        <v>1.40774335549631</v>
      </c>
    </row>
    <row r="3" customFormat="false" ht="15" hidden="false" customHeight="false" outlineLevel="0" collapsed="false">
      <c r="A3" s="2" t="n">
        <v>1991</v>
      </c>
      <c r="B3" s="2" t="n">
        <v>2.51620587336034</v>
      </c>
      <c r="E3" s="2" t="n">
        <v>2.78322137100113</v>
      </c>
      <c r="J3" s="2" t="n">
        <v>2.41644963707326</v>
      </c>
      <c r="L3" s="2" t="n">
        <v>2.0866470486799</v>
      </c>
    </row>
    <row r="4" customFormat="false" ht="15" hidden="false" customHeight="false" outlineLevel="0" collapsed="false">
      <c r="A4" s="2" t="n">
        <v>1992</v>
      </c>
      <c r="B4" s="2" t="n">
        <v>3.89020060339972</v>
      </c>
      <c r="E4" s="2" t="n">
        <v>4.28459387589121</v>
      </c>
      <c r="J4" s="2" t="n">
        <v>3.79122351259963</v>
      </c>
      <c r="L4" s="2" t="n">
        <v>3.14032888082134</v>
      </c>
    </row>
    <row r="5" customFormat="false" ht="15" hidden="false" customHeight="false" outlineLevel="0" collapsed="false">
      <c r="A5" s="2" t="n">
        <v>1993</v>
      </c>
      <c r="B5" s="2" t="n">
        <v>5.63904237599992</v>
      </c>
      <c r="E5" s="2" t="n">
        <v>6.12835669293882</v>
      </c>
      <c r="J5" s="2" t="n">
        <v>5.62567278541769</v>
      </c>
      <c r="L5" s="2" t="n">
        <v>4.57907669504317</v>
      </c>
    </row>
    <row r="6" customFormat="false" ht="15" hidden="false" customHeight="false" outlineLevel="0" collapsed="false">
      <c r="A6" s="2" t="n">
        <v>1994</v>
      </c>
      <c r="B6" s="2" t="n">
        <v>7.17911457362646</v>
      </c>
      <c r="E6" s="2" t="n">
        <v>7.78747281065967</v>
      </c>
      <c r="J6" s="2" t="n">
        <v>7.29187207470653</v>
      </c>
      <c r="L6" s="2" t="n">
        <v>5.78092225873048</v>
      </c>
    </row>
    <row r="7" customFormat="false" ht="15" hidden="false" customHeight="false" outlineLevel="0" collapsed="false">
      <c r="A7" s="2" t="n">
        <v>1995</v>
      </c>
      <c r="B7" s="2" t="n">
        <v>8.8255605919138</v>
      </c>
      <c r="E7" s="2" t="n">
        <v>9.53707482497137</v>
      </c>
      <c r="J7" s="2" t="n">
        <v>9.0889718355954</v>
      </c>
      <c r="L7" s="2" t="n">
        <v>7.08686764141134</v>
      </c>
    </row>
    <row r="8" customFormat="false" ht="15" hidden="false" customHeight="false" outlineLevel="0" collapsed="false">
      <c r="A8" s="2" t="n">
        <v>1996</v>
      </c>
      <c r="B8" s="2" t="n">
        <v>10.9780354387801</v>
      </c>
      <c r="E8" s="2" t="n">
        <v>11.7926699094313</v>
      </c>
      <c r="J8" s="2" t="n">
        <v>11.490673982109</v>
      </c>
      <c r="L8" s="2" t="n">
        <v>9.09358260604249</v>
      </c>
    </row>
    <row r="9" customFormat="false" ht="15" hidden="false" customHeight="false" outlineLevel="0" collapsed="false">
      <c r="A9" s="2" t="n">
        <v>1997</v>
      </c>
      <c r="B9" s="2" t="n">
        <v>14.3471720319583</v>
      </c>
      <c r="E9" s="2" t="n">
        <v>15.6675624949114</v>
      </c>
      <c r="J9" s="2" t="n">
        <v>14.7615623351168</v>
      </c>
      <c r="L9" s="2" t="n">
        <v>11.8469592421347</v>
      </c>
    </row>
    <row r="10" customFormat="false" ht="15" hidden="false" customHeight="false" outlineLevel="0" collapsed="false">
      <c r="A10" s="2" t="n">
        <v>1998</v>
      </c>
      <c r="B10" s="2" t="n">
        <v>17.8299753945984</v>
      </c>
      <c r="E10" s="2" t="n">
        <v>19.0925947350732</v>
      </c>
      <c r="J10" s="2" t="n">
        <v>17.8432315031762</v>
      </c>
      <c r="L10" s="2" t="n">
        <v>15.3087722903074</v>
      </c>
    </row>
    <row r="11" customFormat="false" ht="15" hidden="false" customHeight="false" outlineLevel="0" collapsed="false">
      <c r="A11" s="2" t="n">
        <v>1999</v>
      </c>
      <c r="B11" s="2" t="n">
        <v>29.7281465431165</v>
      </c>
      <c r="E11" s="2" t="n">
        <v>31.8175612465372</v>
      </c>
      <c r="J11" s="2" t="n">
        <v>29.8257897123968</v>
      </c>
      <c r="L11" s="2" t="n">
        <v>25.5954633117357</v>
      </c>
    </row>
    <row r="12" customFormat="false" ht="15" hidden="false" customHeight="false" outlineLevel="0" collapsed="false">
      <c r="A12" s="2" t="n">
        <v>2000</v>
      </c>
      <c r="B12" s="2" t="n">
        <v>58.2396145874821</v>
      </c>
      <c r="E12" s="2" t="n">
        <v>61.7272014617212</v>
      </c>
      <c r="J12" s="2" t="n">
        <v>58.7388233028834</v>
      </c>
      <c r="L12" s="2" t="n">
        <v>53.3535629680829</v>
      </c>
    </row>
    <row r="13" customFormat="false" ht="15" hidden="false" customHeight="false" outlineLevel="0" collapsed="false">
      <c r="A13" s="2" t="n">
        <v>2001</v>
      </c>
      <c r="B13" s="2" t="n">
        <v>80.1798973453657</v>
      </c>
      <c r="E13" s="2" t="n">
        <v>84.8029582438456</v>
      </c>
      <c r="J13" s="2" t="n">
        <v>80.1938954147471</v>
      </c>
      <c r="L13" s="2" t="n">
        <v>77.8646408555911</v>
      </c>
    </row>
    <row r="14" customFormat="false" ht="15" hidden="false" customHeight="false" outlineLevel="0" collapsed="false">
      <c r="A14" s="2" t="n">
        <v>2002</v>
      </c>
      <c r="B14" s="2" t="n">
        <v>90.2346957559042</v>
      </c>
      <c r="E14" s="2" t="n">
        <v>92.5027522787189</v>
      </c>
      <c r="J14" s="2" t="n">
        <v>90.081592963364</v>
      </c>
      <c r="L14" s="2" t="n">
        <v>92.429767657344</v>
      </c>
    </row>
    <row r="15" customFormat="false" ht="15" hidden="false" customHeight="false" outlineLevel="0" collapsed="false">
      <c r="A15" s="2" t="n">
        <v>2003</v>
      </c>
      <c r="B15" s="2" t="n">
        <v>97.4255040110872</v>
      </c>
      <c r="E15" s="2" t="n">
        <v>98.5173966786196</v>
      </c>
      <c r="J15" s="2" t="n">
        <v>97.1594660022212</v>
      </c>
      <c r="L15" s="2" t="n">
        <v>97.7462844616243</v>
      </c>
    </row>
    <row r="16" customFormat="false" ht="15" hidden="false" customHeight="false" outlineLevel="0" collapsed="false">
      <c r="A16" s="2" t="n">
        <v>2004</v>
      </c>
      <c r="B16" s="2" t="n">
        <v>100</v>
      </c>
      <c r="E16" s="2" t="n">
        <v>99.91</v>
      </c>
      <c r="J16" s="2" t="n">
        <v>99.86</v>
      </c>
      <c r="L16" s="2" t="n">
        <v>99.66</v>
      </c>
    </row>
    <row r="17" customFormat="false" ht="15" hidden="false" customHeight="false" outlineLevel="0" collapsed="false">
      <c r="A17" s="2" t="n">
        <v>2005</v>
      </c>
      <c r="B17" s="2" t="n">
        <v>102.08</v>
      </c>
      <c r="E17" s="2" t="n">
        <v>101.06</v>
      </c>
      <c r="J17" s="2" t="n">
        <v>102.12</v>
      </c>
      <c r="L17" s="2" t="n">
        <v>102.42</v>
      </c>
    </row>
    <row r="18" customFormat="false" ht="15" hidden="false" customHeight="false" outlineLevel="0" collapsed="false">
      <c r="A18" s="2" t="n">
        <v>2006</v>
      </c>
      <c r="B18" s="2" t="n">
        <v>105.45</v>
      </c>
      <c r="E18" s="2" t="n">
        <v>103.49</v>
      </c>
      <c r="J18" s="2" t="n">
        <v>105.54</v>
      </c>
      <c r="L18" s="2" t="n">
        <v>105.23</v>
      </c>
    </row>
    <row r="19" customFormat="false" ht="15" hidden="false" customHeight="false" outlineLevel="0" collapsed="false">
      <c r="A19" s="2" t="n">
        <v>2007</v>
      </c>
      <c r="B19" s="2" t="n">
        <v>107.847515121795</v>
      </c>
      <c r="E19" s="2" t="n">
        <v>105.255181103261</v>
      </c>
      <c r="J19" s="2" t="n">
        <v>107.821157708059</v>
      </c>
      <c r="L19" s="2" t="n">
        <v>107.668989995173</v>
      </c>
    </row>
    <row r="20" customFormat="false" ht="15" hidden="false" customHeight="false" outlineLevel="0" collapsed="false">
      <c r="A20" s="2" t="n">
        <v>2008</v>
      </c>
      <c r="B20" s="2" t="n">
        <v>116.906826879439</v>
      </c>
      <c r="E20" s="2" t="n">
        <v>113.165808628769</v>
      </c>
      <c r="J20" s="2" t="n">
        <v>116.427648788137</v>
      </c>
      <c r="L20" s="2" t="n">
        <v>116.11843739868</v>
      </c>
    </row>
    <row r="21" customFormat="false" ht="15" hidden="false" customHeight="false" outlineLevel="0" collapsed="false">
      <c r="A21" s="2" t="n">
        <v>2009</v>
      </c>
      <c r="B21" s="2" t="n">
        <v>122.93918207738</v>
      </c>
      <c r="E21" s="2" t="n">
        <v>117.928229747675</v>
      </c>
      <c r="J21" s="2" t="n">
        <v>122.199206858277</v>
      </c>
      <c r="L21" s="2" t="n">
        <v>122.173852913727</v>
      </c>
    </row>
    <row r="22" customFormat="false" ht="15" hidden="false" customHeight="false" outlineLevel="0" collapsed="false">
      <c r="A22" s="2" t="n">
        <v>2010</v>
      </c>
      <c r="B22" s="2" t="n">
        <v>127.308904514102</v>
      </c>
      <c r="E22" s="2" t="n">
        <v>121.570834448956</v>
      </c>
      <c r="J22" s="2" t="n">
        <v>126.542713400635</v>
      </c>
      <c r="L22" s="2" t="n">
        <v>125.611729513676</v>
      </c>
    </row>
    <row r="23" customFormat="false" ht="15" hidden="false" customHeight="false" outlineLevel="0" collapsed="false">
      <c r="A23" s="2" t="n">
        <v>2011</v>
      </c>
      <c r="B23" s="2" t="n">
        <v>133.005383023072</v>
      </c>
      <c r="E23" s="2" t="n">
        <v>127.347211326561</v>
      </c>
      <c r="J23" s="2" t="n">
        <v>131.286712229558</v>
      </c>
      <c r="L23" s="2" t="n">
        <v>131.16637167181</v>
      </c>
    </row>
    <row r="24" customFormat="false" ht="15" hidden="false" customHeight="false" outlineLevel="0" collapsed="false">
      <c r="A24" s="2" t="n">
        <v>2012</v>
      </c>
      <c r="B24" s="2" t="n">
        <v>139.790947656685</v>
      </c>
      <c r="E24" s="2" t="n">
        <v>132.813582514925</v>
      </c>
      <c r="J24" s="2" t="n">
        <v>138.51853070095</v>
      </c>
      <c r="L24" s="2" t="n">
        <v>136.756276921371</v>
      </c>
    </row>
    <row r="25" customFormat="false" ht="15" hidden="false" customHeight="false" outlineLevel="0" collapsed="false">
      <c r="A25" s="2" t="n">
        <v>2013</v>
      </c>
      <c r="B25" s="2" t="n">
        <v>143.595743808588</v>
      </c>
      <c r="E25" s="2" t="n">
        <v>136.158915768263</v>
      </c>
      <c r="J25" s="2" t="n">
        <v>142.471857975003</v>
      </c>
      <c r="L25" s="2" t="n">
        <v>141.298310658083</v>
      </c>
    </row>
    <row r="26" customFormat="false" ht="15" hidden="false" customHeight="false" outlineLevel="0" collapsed="false">
      <c r="A26" s="2" t="n">
        <v>2014</v>
      </c>
      <c r="B26" s="2" t="n">
        <v>148.749711203125</v>
      </c>
      <c r="E26" s="2" t="n">
        <v>141.212321325769</v>
      </c>
      <c r="J26" s="2" t="n">
        <v>147.917764319021</v>
      </c>
      <c r="L26" s="2" t="n">
        <v>146.551984957295</v>
      </c>
    </row>
    <row r="29" customFormat="false" ht="15" hidden="false" customHeight="false" outlineLevel="0" collapsed="false">
      <c r="A29" s="2" t="s">
        <v>35</v>
      </c>
      <c r="B29" s="2" t="n">
        <v>0.667443033813257</v>
      </c>
      <c r="E29" s="2" t="n">
        <v>0.704890450895257</v>
      </c>
      <c r="J29" s="2" t="n">
        <v>0.670410547900668</v>
      </c>
      <c r="L29" s="2" t="n">
        <v>0.675776689845545</v>
      </c>
    </row>
    <row r="31" customFormat="false" ht="15" hidden="false" customHeight="false" outlineLevel="0" collapsed="false">
      <c r="A31" s="2" t="s">
        <v>36</v>
      </c>
    </row>
    <row r="32" customFormat="false" ht="15" hidden="false" customHeight="false" outlineLevel="0" collapsed="false">
      <c r="A32" s="2" t="n">
        <v>1990</v>
      </c>
      <c r="B32" s="2" t="n">
        <f aca="false">B2*B$29</f>
        <v>1.129234100118</v>
      </c>
      <c r="E32" s="2" t="n">
        <f aca="false">E2*E$29</f>
        <v>1.30918154342752</v>
      </c>
      <c r="J32" s="2" t="n">
        <f aca="false">J2*J$29</f>
        <v>1.1101481505887</v>
      </c>
      <c r="L32" s="2" t="n">
        <f aca="false">L2*L$29</f>
        <v>0.951320144929357</v>
      </c>
    </row>
    <row r="33" customFormat="false" ht="15" hidden="false" customHeight="false" outlineLevel="0" collapsed="false">
      <c r="A33" s="2" t="n">
        <v>1991</v>
      </c>
      <c r="B33" s="2" t="n">
        <f aca="false">B3*B$29</f>
        <v>1.67942408181436</v>
      </c>
      <c r="E33" s="2" t="n">
        <f aca="false">E3*E$29</f>
        <v>1.9618661671463</v>
      </c>
      <c r="J33" s="2" t="n">
        <f aca="false">J3*J$29</f>
        <v>1.62001332516465</v>
      </c>
      <c r="L33" s="2" t="n">
        <f aca="false">L3*L$29</f>
        <v>1.41010743543288</v>
      </c>
    </row>
    <row r="34" customFormat="false" ht="15" hidden="false" customHeight="false" outlineLevel="0" collapsed="false">
      <c r="A34" s="2" t="n">
        <v>1992</v>
      </c>
      <c r="B34" s="2" t="n">
        <f aca="false">B4*B$29</f>
        <v>2.59648729287527</v>
      </c>
      <c r="E34" s="2" t="n">
        <f aca="false">E4*E$29</f>
        <v>3.02016930908001</v>
      </c>
      <c r="J34" s="2" t="n">
        <f aca="false">J4*J$29</f>
        <v>2.54167623229581</v>
      </c>
      <c r="L34" s="2" t="n">
        <f aca="false">L4*L$29</f>
        <v>2.12216105610781</v>
      </c>
    </row>
    <row r="35" customFormat="false" ht="15" hidden="false" customHeight="false" outlineLevel="0" collapsed="false">
      <c r="A35" s="2" t="n">
        <v>1993</v>
      </c>
      <c r="B35" s="2" t="n">
        <f aca="false">B5*B$29</f>
        <v>3.76373955123891</v>
      </c>
      <c r="E35" s="2" t="n">
        <f aca="false">E5*E$29</f>
        <v>4.31982011253261</v>
      </c>
      <c r="J35" s="2" t="n">
        <f aca="false">J5*J$29</f>
        <v>3.77151037438175</v>
      </c>
      <c r="L35" s="2" t="n">
        <f aca="false">L5*L$29</f>
        <v>3.09443329152515</v>
      </c>
    </row>
    <row r="36" customFormat="false" ht="15" hidden="false" customHeight="false" outlineLevel="0" collapsed="false">
      <c r="A36" s="2" t="n">
        <v>1994</v>
      </c>
      <c r="B36" s="2" t="n">
        <f aca="false">B6*B$29</f>
        <v>4.79165001111421</v>
      </c>
      <c r="E36" s="2" t="n">
        <f aca="false">E6*E$29</f>
        <v>5.48931522084045</v>
      </c>
      <c r="J36" s="2" t="n">
        <f aca="false">J6*J$29</f>
        <v>4.88854795282558</v>
      </c>
      <c r="L36" s="2" t="n">
        <f aca="false">L6*L$29</f>
        <v>3.90661250825932</v>
      </c>
    </row>
    <row r="37" customFormat="false" ht="15" hidden="false" customHeight="false" outlineLevel="0" collapsed="false">
      <c r="A37" s="2" t="n">
        <v>1995</v>
      </c>
      <c r="B37" s="2" t="n">
        <f aca="false">B7*B$29</f>
        <v>5.89055893656967</v>
      </c>
      <c r="E37" s="2" t="n">
        <f aca="false">E7*E$29</f>
        <v>6.72259297359587</v>
      </c>
      <c r="J37" s="2" t="n">
        <f aca="false">J7*J$29</f>
        <v>6.09334258815525</v>
      </c>
      <c r="L37" s="2" t="n">
        <f aca="false">L7*L$29</f>
        <v>4.78913995608646</v>
      </c>
    </row>
    <row r="38" customFormat="false" ht="15" hidden="false" customHeight="false" outlineLevel="0" collapsed="false">
      <c r="A38" s="2" t="n">
        <v>1996</v>
      </c>
      <c r="B38" s="2" t="n">
        <f aca="false">B8*B$29</f>
        <v>7.32721327856884</v>
      </c>
      <c r="E38" s="2" t="n">
        <f aca="false">E8*E$29</f>
        <v>8.31254040971796</v>
      </c>
      <c r="J38" s="2" t="n">
        <f aca="false">J8*J$29</f>
        <v>7.70346904009364</v>
      </c>
      <c r="L38" s="2" t="n">
        <f aca="false">L8*L$29</f>
        <v>6.14523115234842</v>
      </c>
    </row>
    <row r="39" customFormat="false" ht="15" hidden="false" customHeight="false" outlineLevel="0" collapsed="false">
      <c r="A39" s="2" t="n">
        <v>1997</v>
      </c>
      <c r="B39" s="2" t="n">
        <f aca="false">B9*B$29</f>
        <v>9.57592002765096</v>
      </c>
      <c r="E39" s="2" t="n">
        <f aca="false">E9*E$29</f>
        <v>11.0439151914677</v>
      </c>
      <c r="J39" s="2" t="n">
        <f aca="false">J9*J$29</f>
        <v>9.89630709295551</v>
      </c>
      <c r="L39" s="2" t="n">
        <f aca="false">L9*L$29</f>
        <v>8.00589890138488</v>
      </c>
    </row>
    <row r="40" customFormat="false" ht="15" hidden="false" customHeight="false" outlineLevel="0" collapsed="false">
      <c r="A40" s="2" t="n">
        <v>1998</v>
      </c>
      <c r="B40" s="2" t="n">
        <f aca="false">B10*B$29</f>
        <v>11.9004928701865</v>
      </c>
      <c r="E40" s="2" t="n">
        <f aca="false">E10*E$29</f>
        <v>13.4581877115662</v>
      </c>
      <c r="J40" s="2" t="n">
        <f aca="false">J10*J$29</f>
        <v>11.9622906083628</v>
      </c>
      <c r="L40" s="2" t="n">
        <f aca="false">L10*L$29</f>
        <v>10.3453114639431</v>
      </c>
    </row>
    <row r="41" customFormat="false" ht="15" hidden="false" customHeight="false" outlineLevel="0" collapsed="false">
      <c r="A41" s="2" t="n">
        <v>1999</v>
      </c>
      <c r="B41" s="2" t="n">
        <f aca="false">B11*B$29</f>
        <v>19.8418443183828</v>
      </c>
      <c r="E41" s="2" t="n">
        <f aca="false">E11*E$29</f>
        <v>22.4278950934591</v>
      </c>
      <c r="J41" s="2" t="n">
        <f aca="false">J11*J$29</f>
        <v>19.995524022658</v>
      </c>
      <c r="L41" s="2" t="n">
        <f aca="false">L11*L$29</f>
        <v>17.2968174718679</v>
      </c>
    </row>
    <row r="42" customFormat="false" ht="15" hidden="false" customHeight="false" outlineLevel="0" collapsed="false">
      <c r="A42" s="2" t="n">
        <v>2000</v>
      </c>
      <c r="B42" s="2" t="n">
        <f aca="false">B12*B$29</f>
        <v>38.8716250483839</v>
      </c>
      <c r="E42" s="2" t="n">
        <f aca="false">E12*E$29</f>
        <v>43.510914870855</v>
      </c>
      <c r="J42" s="2" t="n">
        <f aca="false">J12*J$29</f>
        <v>39.3791267135266</v>
      </c>
      <c r="L42" s="2" t="n">
        <f aca="false">L12*L$29</f>
        <v>36.0550941740369</v>
      </c>
    </row>
    <row r="43" customFormat="false" ht="15" hidden="false" customHeight="false" outlineLevel="0" collapsed="false">
      <c r="A43" s="2" t="n">
        <v>2001</v>
      </c>
      <c r="B43" s="2" t="n">
        <f aca="false">B13*B$29</f>
        <v>53.5155139350264</v>
      </c>
      <c r="E43" s="2" t="n">
        <f aca="false">E13*E$29</f>
        <v>59.776795473756</v>
      </c>
      <c r="J43" s="2" t="n">
        <f aca="false">J13*J$29</f>
        <v>53.7628333632894</v>
      </c>
      <c r="L43" s="2" t="n">
        <f aca="false">L13*L$29</f>
        <v>52.6191092534036</v>
      </c>
    </row>
    <row r="44" customFormat="false" ht="15" hidden="false" customHeight="false" outlineLevel="0" collapsed="false">
      <c r="A44" s="2" t="n">
        <v>2002</v>
      </c>
      <c r="B44" s="2" t="n">
        <f aca="false">B14*B$29</f>
        <v>60.226519090537</v>
      </c>
      <c r="E44" s="2" t="n">
        <f aca="false">E14*E$29</f>
        <v>65.2043067627984</v>
      </c>
      <c r="J44" s="2" t="n">
        <f aca="false">J14*J$29</f>
        <v>60.3916500943338</v>
      </c>
      <c r="L44" s="2" t="n">
        <f aca="false">L14*L$29</f>
        <v>62.4618824306728</v>
      </c>
    </row>
    <row r="45" customFormat="false" ht="15" hidden="false" customHeight="false" outlineLevel="0" collapsed="false">
      <c r="A45" s="2" t="n">
        <v>2003</v>
      </c>
      <c r="B45" s="2" t="n">
        <f aca="false">B15*B$29</f>
        <v>65.0259739679457</v>
      </c>
      <c r="E45" s="2" t="n">
        <f aca="false">E15*E$29</f>
        <v>69.4439721658191</v>
      </c>
      <c r="J45" s="2" t="n">
        <f aca="false">J15*J$29</f>
        <v>65.1367308362854</v>
      </c>
      <c r="L45" s="2" t="n">
        <f aca="false">L15*L$29</f>
        <v>66.0546605581775</v>
      </c>
    </row>
    <row r="46" customFormat="false" ht="15" hidden="false" customHeight="false" outlineLevel="0" collapsed="false">
      <c r="A46" s="2" t="n">
        <v>2004</v>
      </c>
      <c r="B46" s="2" t="n">
        <f aca="false">B16*B$29</f>
        <v>66.7443033813257</v>
      </c>
      <c r="E46" s="2" t="n">
        <f aca="false">E16*E$29</f>
        <v>70.4256049489451</v>
      </c>
      <c r="J46" s="2" t="n">
        <f aca="false">J16*J$29</f>
        <v>66.9471973133607</v>
      </c>
      <c r="L46" s="2" t="n">
        <f aca="false">L16*L$29</f>
        <v>67.3479049100071</v>
      </c>
    </row>
    <row r="47" customFormat="false" ht="15" hidden="false" customHeight="false" outlineLevel="0" collapsed="false">
      <c r="A47" s="2" t="n">
        <v>2005</v>
      </c>
      <c r="B47" s="13" t="n">
        <f aca="false">B17*B$29</f>
        <v>68.1325848916573</v>
      </c>
      <c r="C47" s="13" t="n">
        <v>68.1327500596765</v>
      </c>
      <c r="E47" s="13" t="n">
        <f aca="false">E17*E$29</f>
        <v>71.2362289674747</v>
      </c>
      <c r="F47" s="13" t="n">
        <v>71.2384418705921</v>
      </c>
      <c r="J47" s="13" t="n">
        <f aca="false">J17*J$29</f>
        <v>68.4623251516162</v>
      </c>
      <c r="K47" s="13" t="n">
        <v>68.4616397904708</v>
      </c>
      <c r="L47" s="13" t="n">
        <f aca="false">L17*L$29</f>
        <v>69.2130485739807</v>
      </c>
      <c r="M47" s="13" t="n">
        <v>69.212266495263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J48" activeCellId="0" sqref="J4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17</v>
      </c>
      <c r="B1" s="2" t="s">
        <v>37</v>
      </c>
      <c r="C1" s="2" t="s">
        <v>38</v>
      </c>
    </row>
    <row r="2" customFormat="false" ht="15" hidden="false" customHeight="false" outlineLevel="0" collapsed="false">
      <c r="A2" s="2" t="n">
        <v>1990</v>
      </c>
      <c r="B2" s="2" t="n">
        <v>32000</v>
      </c>
      <c r="C2" s="2" t="n">
        <v>39</v>
      </c>
    </row>
    <row r="3" customFormat="false" ht="15" hidden="false" customHeight="false" outlineLevel="0" collapsed="false">
      <c r="A3" s="2" t="n">
        <v>1991</v>
      </c>
      <c r="B3" s="2" t="n">
        <v>40000</v>
      </c>
      <c r="C3" s="2" t="n">
        <v>36</v>
      </c>
    </row>
    <row r="4" customFormat="false" ht="15" hidden="false" customHeight="false" outlineLevel="0" collapsed="false">
      <c r="A4" s="2" t="s">
        <v>39</v>
      </c>
      <c r="B4" s="2" t="n">
        <v>40000</v>
      </c>
      <c r="C4" s="2" t="n">
        <v>30</v>
      </c>
    </row>
    <row r="5" customFormat="false" ht="15" hidden="false" customHeight="false" outlineLevel="0" collapsed="false">
      <c r="A5" s="2" t="s">
        <v>40</v>
      </c>
      <c r="B5" s="2" t="n">
        <v>60000</v>
      </c>
      <c r="C5" s="2" t="n">
        <v>40</v>
      </c>
    </row>
    <row r="6" customFormat="false" ht="15" hidden="false" customHeight="false" outlineLevel="0" collapsed="false">
      <c r="A6" s="2" t="s">
        <v>41</v>
      </c>
      <c r="B6" s="2" t="n">
        <v>60000</v>
      </c>
      <c r="C6" s="2" t="n">
        <v>32</v>
      </c>
    </row>
    <row r="7" customFormat="false" ht="15" hidden="false" customHeight="false" outlineLevel="0" collapsed="false">
      <c r="A7" s="2" t="s">
        <v>42</v>
      </c>
      <c r="B7" s="2" t="n">
        <v>66000</v>
      </c>
      <c r="C7" s="2" t="n">
        <v>34</v>
      </c>
    </row>
    <row r="8" customFormat="false" ht="15" hidden="false" customHeight="false" outlineLevel="0" collapsed="false">
      <c r="A8" s="2" t="s">
        <v>43</v>
      </c>
      <c r="B8" s="2" t="n">
        <v>66000</v>
      </c>
      <c r="C8" s="2" t="n">
        <v>32</v>
      </c>
    </row>
    <row r="9" customFormat="false" ht="15" hidden="false" customHeight="false" outlineLevel="0" collapsed="false">
      <c r="A9" s="2" t="s">
        <v>44</v>
      </c>
      <c r="B9" s="2" t="n">
        <v>70000</v>
      </c>
      <c r="C9" s="2" t="n">
        <v>32</v>
      </c>
    </row>
    <row r="10" customFormat="false" ht="15" hidden="false" customHeight="false" outlineLevel="0" collapsed="false">
      <c r="A10" s="2" t="s">
        <v>45</v>
      </c>
      <c r="B10" s="2" t="n">
        <v>75000</v>
      </c>
      <c r="C10" s="2" t="n">
        <v>32</v>
      </c>
    </row>
    <row r="11" customFormat="false" ht="15" hidden="false" customHeight="false" outlineLevel="0" collapsed="false">
      <c r="A11" s="2" t="s">
        <v>46</v>
      </c>
      <c r="B11" s="2" t="n">
        <v>85000</v>
      </c>
      <c r="C11" s="2" t="n">
        <v>33</v>
      </c>
    </row>
    <row r="12" customFormat="false" ht="15" hidden="false" customHeight="false" outlineLevel="0" collapsed="false">
      <c r="A12" s="2" t="n">
        <v>1996</v>
      </c>
      <c r="B12" s="2" t="n">
        <v>95000</v>
      </c>
      <c r="C12" s="2" t="n">
        <v>30</v>
      </c>
    </row>
    <row r="13" customFormat="false" ht="15" hidden="false" customHeight="false" outlineLevel="0" collapsed="false">
      <c r="A13" s="2" t="s">
        <v>47</v>
      </c>
      <c r="B13" s="2" t="n">
        <v>95000</v>
      </c>
      <c r="C13" s="2" t="n">
        <v>23.7571271381414</v>
      </c>
    </row>
    <row r="14" customFormat="false" ht="15" hidden="false" customHeight="false" outlineLevel="0" collapsed="false">
      <c r="A14" s="2" t="s">
        <v>48</v>
      </c>
      <c r="B14" s="2" t="n">
        <v>100000</v>
      </c>
      <c r="C14" s="2" t="n">
        <v>25.0075022506752</v>
      </c>
    </row>
    <row r="15" customFormat="false" ht="15" hidden="false" customHeight="false" outlineLevel="0" collapsed="false">
      <c r="A15" s="2" t="n">
        <v>1998</v>
      </c>
      <c r="B15" s="2" t="n">
        <v>100000</v>
      </c>
      <c r="C15" s="2" t="n">
        <v>18.3607520564042</v>
      </c>
    </row>
    <row r="16" customFormat="false" ht="15" hidden="false" customHeight="false" outlineLevel="0" collapsed="false">
      <c r="A16" s="2" t="n">
        <v>1999</v>
      </c>
      <c r="B16" s="2" t="n">
        <v>100000</v>
      </c>
      <c r="C16" s="2" t="n">
        <v>8.40703500689377</v>
      </c>
    </row>
    <row r="17" customFormat="false" ht="15" hidden="false" customHeight="false" outlineLevel="0" collapsed="false">
      <c r="A17" s="2" t="s">
        <v>49</v>
      </c>
      <c r="B17" s="2" t="n">
        <v>100000</v>
      </c>
      <c r="C17" s="2" t="n">
        <v>4</v>
      </c>
    </row>
    <row r="18" customFormat="false" ht="15" hidden="false" customHeight="false" outlineLevel="0" collapsed="false">
      <c r="A18" s="2" t="s">
        <v>50</v>
      </c>
      <c r="C18" s="2" t="n">
        <v>56.7</v>
      </c>
    </row>
    <row r="19" customFormat="false" ht="15" hidden="false" customHeight="false" outlineLevel="0" collapsed="false">
      <c r="C19" s="2" t="n">
        <v>85.7</v>
      </c>
    </row>
    <row r="20" customFormat="false" ht="15" hidden="false" customHeight="false" outlineLevel="0" collapsed="false">
      <c r="A20" s="2" t="s">
        <v>51</v>
      </c>
      <c r="C20" s="2" t="n">
        <v>121.327083333333</v>
      </c>
    </row>
    <row r="21" customFormat="false" ht="15" hidden="false" customHeight="false" outlineLevel="0" collapsed="false">
      <c r="A21" s="2" t="n">
        <v>2002</v>
      </c>
      <c r="C21" s="2" t="n">
        <v>138.153125</v>
      </c>
    </row>
    <row r="22" customFormat="false" ht="15" hidden="false" customHeight="false" outlineLevel="0" collapsed="false">
      <c r="A22" s="2" t="n">
        <v>2003</v>
      </c>
      <c r="C22" s="2" t="n">
        <v>158.110069444444</v>
      </c>
    </row>
    <row r="23" customFormat="false" ht="15" hidden="false" customHeight="false" outlineLevel="0" collapsed="false">
      <c r="A23" s="2" t="n">
        <v>2004</v>
      </c>
      <c r="C23" s="2" t="n">
        <v>166.139722222222</v>
      </c>
    </row>
    <row r="24" customFormat="false" ht="15" hidden="false" customHeight="false" outlineLevel="0" collapsed="false">
      <c r="A24" s="2" t="n">
        <v>2005</v>
      </c>
      <c r="C24" s="2" t="n">
        <v>174.900208333333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I46" activeCellId="0" sqref="I46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5.86"/>
    <col collapsed="false" customWidth="true" hidden="false" outlineLevel="0" max="2" min="2" style="2" width="12"/>
    <col collapsed="false" customWidth="true" hidden="false" outlineLevel="0" max="3" min="3" style="2" width="12.29"/>
    <col collapsed="false" customWidth="true" hidden="false" outlineLevel="0" max="5" min="4" style="2" width="12"/>
    <col collapsed="false" customWidth="true" hidden="false" outlineLevel="0" max="6" min="6" style="2" width="18.71"/>
    <col collapsed="false" customWidth="true" hidden="false" outlineLevel="0" max="7" min="7" style="2" width="20.14"/>
    <col collapsed="false" customWidth="true" hidden="false" outlineLevel="0" max="8" min="8" style="2" width="16.14"/>
    <col collapsed="false" customWidth="true" hidden="false" outlineLevel="0" max="9" min="9" style="2" width="17.71"/>
    <col collapsed="false" customWidth="true" hidden="false" outlineLevel="0" max="10" min="10" style="2" width="14.14"/>
    <col collapsed="false" customWidth="true" hidden="false" outlineLevel="0" max="11" min="11" style="2" width="15.57"/>
    <col collapsed="false" customWidth="true" hidden="false" outlineLevel="0" max="12" min="12" style="2" width="11.57"/>
    <col collapsed="false" customWidth="true" hidden="false" outlineLevel="0" max="13" min="13" style="2" width="13.15"/>
  </cols>
  <sheetData>
    <row r="1" customFormat="false" ht="15" hidden="false" customHeight="false" outlineLevel="0" collapsed="false">
      <c r="B1" s="14" t="s">
        <v>52</v>
      </c>
      <c r="C1" s="14"/>
      <c r="D1" s="14"/>
      <c r="E1" s="14"/>
      <c r="F1" s="14" t="s">
        <v>53</v>
      </c>
      <c r="G1" s="14"/>
      <c r="H1" s="14"/>
      <c r="I1" s="14"/>
      <c r="J1" s="14" t="s">
        <v>54</v>
      </c>
      <c r="K1" s="14"/>
      <c r="L1" s="14"/>
      <c r="M1" s="14"/>
    </row>
    <row r="2" customFormat="false" ht="15" hidden="false" customHeight="false" outlineLevel="0" collapsed="false">
      <c r="A2" s="15" t="s">
        <v>17</v>
      </c>
      <c r="B2" s="15" t="s">
        <v>55</v>
      </c>
      <c r="C2" s="15" t="s">
        <v>56</v>
      </c>
      <c r="D2" s="15" t="s">
        <v>57</v>
      </c>
      <c r="E2" s="15" t="s">
        <v>58</v>
      </c>
      <c r="F2" s="15" t="s">
        <v>23</v>
      </c>
      <c r="G2" s="15" t="s">
        <v>26</v>
      </c>
      <c r="H2" s="15" t="s">
        <v>31</v>
      </c>
      <c r="I2" s="15" t="s">
        <v>33</v>
      </c>
      <c r="J2" s="15" t="s">
        <v>59</v>
      </c>
      <c r="K2" s="15" t="s">
        <v>60</v>
      </c>
      <c r="L2" s="15" t="s">
        <v>61</v>
      </c>
      <c r="M2" s="15" t="s">
        <v>62</v>
      </c>
    </row>
    <row r="3" customFormat="false" ht="15" hidden="false" customHeight="false" outlineLevel="0" collapsed="false">
      <c r="A3" s="2" t="n">
        <v>1990</v>
      </c>
      <c r="B3" s="2" t="n">
        <v>1.69188086909293</v>
      </c>
      <c r="C3" s="2" t="n">
        <v>1.85728369814739</v>
      </c>
      <c r="D3" s="2" t="n">
        <v>1.65592285811288</v>
      </c>
      <c r="E3" s="2" t="n">
        <v>1.40774335549631</v>
      </c>
    </row>
    <row r="4" customFormat="false" ht="15" hidden="false" customHeight="false" outlineLevel="0" collapsed="false">
      <c r="A4" s="2" t="n">
        <v>1991</v>
      </c>
      <c r="B4" s="2" t="n">
        <v>2.51620587336034</v>
      </c>
      <c r="C4" s="2" t="n">
        <v>2.78322137100113</v>
      </c>
      <c r="D4" s="2" t="n">
        <v>2.41644963707326</v>
      </c>
      <c r="E4" s="2" t="n">
        <v>2.0866470486799</v>
      </c>
    </row>
    <row r="5" customFormat="false" ht="15" hidden="false" customHeight="false" outlineLevel="0" collapsed="false">
      <c r="A5" s="2" t="n">
        <v>1992</v>
      </c>
      <c r="B5" s="2" t="n">
        <v>3.89020060339972</v>
      </c>
      <c r="C5" s="2" t="n">
        <v>4.28459387589121</v>
      </c>
      <c r="D5" s="2" t="n">
        <v>3.79122351259963</v>
      </c>
      <c r="E5" s="2" t="n">
        <v>3.14032888082134</v>
      </c>
    </row>
    <row r="6" customFormat="false" ht="15" hidden="false" customHeight="false" outlineLevel="0" collapsed="false">
      <c r="A6" s="2" t="n">
        <v>1993</v>
      </c>
      <c r="B6" s="2" t="n">
        <v>5.63904237599992</v>
      </c>
      <c r="C6" s="2" t="n">
        <v>6.12835669293882</v>
      </c>
      <c r="D6" s="2" t="n">
        <v>5.62567278541769</v>
      </c>
      <c r="E6" s="2" t="n">
        <v>4.57907669504317</v>
      </c>
    </row>
    <row r="7" customFormat="false" ht="15" hidden="false" customHeight="false" outlineLevel="0" collapsed="false">
      <c r="A7" s="2" t="n">
        <v>1994</v>
      </c>
      <c r="B7" s="2" t="n">
        <v>7.17911457362646</v>
      </c>
      <c r="C7" s="2" t="n">
        <v>7.78747281065967</v>
      </c>
      <c r="D7" s="2" t="n">
        <v>7.29187207470653</v>
      </c>
      <c r="E7" s="2" t="n">
        <v>5.78092225873048</v>
      </c>
    </row>
    <row r="8" customFormat="false" ht="15" hidden="false" customHeight="false" outlineLevel="0" collapsed="false">
      <c r="A8" s="2" t="n">
        <v>1995</v>
      </c>
      <c r="B8" s="2" t="n">
        <v>8.8255605919138</v>
      </c>
      <c r="C8" s="2" t="n">
        <v>9.53707482497137</v>
      </c>
      <c r="D8" s="2" t="n">
        <v>9.0889718355954</v>
      </c>
      <c r="E8" s="2" t="n">
        <v>7.08686764141134</v>
      </c>
    </row>
    <row r="9" customFormat="false" ht="15" hidden="false" customHeight="false" outlineLevel="0" collapsed="false">
      <c r="A9" s="2" t="n">
        <v>1996</v>
      </c>
      <c r="B9" s="2" t="n">
        <v>10.9780354387801</v>
      </c>
      <c r="C9" s="2" t="n">
        <v>11.7926699094313</v>
      </c>
      <c r="D9" s="2" t="n">
        <v>11.490673982109</v>
      </c>
      <c r="E9" s="2" t="n">
        <v>9.09358260604249</v>
      </c>
    </row>
    <row r="10" customFormat="false" ht="15" hidden="false" customHeight="false" outlineLevel="0" collapsed="false">
      <c r="A10" s="2" t="n">
        <v>1997</v>
      </c>
      <c r="B10" s="2" t="n">
        <v>14.3471720319583</v>
      </c>
      <c r="C10" s="2" t="n">
        <v>15.6675624949114</v>
      </c>
      <c r="D10" s="2" t="n">
        <v>14.7615623351168</v>
      </c>
      <c r="E10" s="2" t="n">
        <v>11.8469592421347</v>
      </c>
    </row>
    <row r="11" customFormat="false" ht="15" hidden="false" customHeight="false" outlineLevel="0" collapsed="false">
      <c r="A11" s="2" t="n">
        <v>1998</v>
      </c>
      <c r="B11" s="2" t="n">
        <v>17.8299753945984</v>
      </c>
      <c r="C11" s="2" t="n">
        <v>19.0925947350732</v>
      </c>
      <c r="D11" s="2" t="n">
        <v>17.8432315031762</v>
      </c>
      <c r="E11" s="2" t="n">
        <v>15.3087722903074</v>
      </c>
    </row>
    <row r="12" customFormat="false" ht="15" hidden="false" customHeight="false" outlineLevel="0" collapsed="false">
      <c r="A12" s="2" t="n">
        <v>1999</v>
      </c>
      <c r="B12" s="2" t="n">
        <v>29.7281465431165</v>
      </c>
      <c r="C12" s="2" t="n">
        <v>31.8175612465372</v>
      </c>
      <c r="D12" s="2" t="n">
        <v>29.8257897123968</v>
      </c>
      <c r="E12" s="2" t="n">
        <v>25.5954633117357</v>
      </c>
    </row>
    <row r="13" customFormat="false" ht="15" hidden="false" customHeight="false" outlineLevel="0" collapsed="false">
      <c r="A13" s="2" t="n">
        <v>2000</v>
      </c>
      <c r="B13" s="2" t="n">
        <v>58.2396145874821</v>
      </c>
      <c r="C13" s="2" t="n">
        <v>61.7272014617212</v>
      </c>
      <c r="D13" s="2" t="n">
        <v>58.7388233028834</v>
      </c>
      <c r="E13" s="2" t="n">
        <v>53.3535629680829</v>
      </c>
    </row>
    <row r="14" customFormat="false" ht="15" hidden="false" customHeight="false" outlineLevel="0" collapsed="false">
      <c r="A14" s="2" t="n">
        <v>2001</v>
      </c>
      <c r="B14" s="2" t="n">
        <v>80.1798973453657</v>
      </c>
      <c r="C14" s="2" t="n">
        <v>84.8029582438456</v>
      </c>
      <c r="D14" s="2" t="n">
        <v>80.1938954147471</v>
      </c>
      <c r="E14" s="2" t="n">
        <v>77.8646408555911</v>
      </c>
    </row>
    <row r="15" customFormat="false" ht="15" hidden="false" customHeight="false" outlineLevel="0" collapsed="false">
      <c r="A15" s="2" t="n">
        <v>2002</v>
      </c>
      <c r="B15" s="2" t="n">
        <v>90.2346957559042</v>
      </c>
      <c r="C15" s="2" t="n">
        <v>92.5027522787189</v>
      </c>
      <c r="D15" s="2" t="n">
        <v>90.081592963364</v>
      </c>
      <c r="E15" s="2" t="n">
        <v>92.429767657344</v>
      </c>
    </row>
    <row r="16" customFormat="false" ht="15" hidden="false" customHeight="false" outlineLevel="0" collapsed="false">
      <c r="A16" s="2" t="n">
        <v>2003</v>
      </c>
      <c r="B16" s="2" t="n">
        <v>97.4255040110872</v>
      </c>
      <c r="C16" s="2" t="n">
        <v>98.5173966786196</v>
      </c>
      <c r="D16" s="2" t="n">
        <v>97.1594660022212</v>
      </c>
      <c r="E16" s="2" t="n">
        <v>97.7462844616243</v>
      </c>
    </row>
    <row r="17" customFormat="false" ht="15" hidden="false" customHeight="false" outlineLevel="0" collapsed="false">
      <c r="A17" s="2" t="n">
        <v>2004</v>
      </c>
      <c r="B17" s="2" t="n">
        <v>100</v>
      </c>
      <c r="C17" s="2" t="n">
        <v>99.91</v>
      </c>
      <c r="D17" s="2" t="n">
        <v>99.86</v>
      </c>
      <c r="E17" s="2" t="n">
        <v>99.66</v>
      </c>
    </row>
    <row r="18" customFormat="false" ht="15" hidden="false" customHeight="false" outlineLevel="0" collapsed="false">
      <c r="A18" s="2" t="n">
        <v>2005</v>
      </c>
      <c r="B18" s="2" t="n">
        <v>102.08</v>
      </c>
      <c r="C18" s="2" t="n">
        <v>101.06</v>
      </c>
      <c r="D18" s="2" t="n">
        <v>102.12</v>
      </c>
      <c r="E18" s="2" t="n">
        <v>102.42</v>
      </c>
      <c r="F18" s="2" t="n">
        <v>68.1327500596765</v>
      </c>
      <c r="G18" s="2" t="n">
        <v>71.2384418705921</v>
      </c>
      <c r="H18" s="2" t="n">
        <v>68.4616397904708</v>
      </c>
      <c r="I18" s="2" t="n">
        <v>69.212266495263</v>
      </c>
      <c r="J18" s="2" t="n">
        <f aca="false">F18/B18</f>
        <v>0.667444651838524</v>
      </c>
      <c r="K18" s="2" t="n">
        <f aca="false">G18/C18</f>
        <v>0.704912347819039</v>
      </c>
      <c r="L18" s="2" t="n">
        <f aca="false">H18/D18</f>
        <v>0.670403836569436</v>
      </c>
      <c r="M18" s="2" t="n">
        <f aca="false">I18/E18</f>
        <v>0.675769053849473</v>
      </c>
    </row>
    <row r="19" customFormat="false" ht="15" hidden="false" customHeight="false" outlineLevel="0" collapsed="false">
      <c r="A19" s="2" t="n">
        <v>2006</v>
      </c>
      <c r="B19" s="2" t="n">
        <v>105.45</v>
      </c>
      <c r="C19" s="2" t="n">
        <v>103.49</v>
      </c>
      <c r="D19" s="2" t="n">
        <v>105.54</v>
      </c>
      <c r="E19" s="2" t="n">
        <v>105.23</v>
      </c>
      <c r="F19" s="2" t="n">
        <v>70.380278104785</v>
      </c>
      <c r="G19" s="2" t="n">
        <v>72.9503405931658</v>
      </c>
      <c r="H19" s="2" t="n">
        <v>70.7548344708488</v>
      </c>
      <c r="I19" s="2" t="n">
        <v>71.1148166295324</v>
      </c>
      <c r="J19" s="2" t="n">
        <f aca="false">F19/B19</f>
        <v>0.667427957371124</v>
      </c>
      <c r="K19" s="2" t="n">
        <f aca="false">G19/C19</f>
        <v>0.704902315133499</v>
      </c>
      <c r="L19" s="2" t="n">
        <f aca="false">H19/D19</f>
        <v>0.67040775507721</v>
      </c>
      <c r="M19" s="2" t="n">
        <f aca="false">I19/E19</f>
        <v>0.675803636125937</v>
      </c>
    </row>
    <row r="20" customFormat="false" ht="15" hidden="false" customHeight="false" outlineLevel="0" collapsed="false">
      <c r="A20" s="2" t="n">
        <v>2007</v>
      </c>
      <c r="B20" s="2" t="n">
        <v>107.847515121795</v>
      </c>
      <c r="C20" s="2" t="n">
        <v>105.255181103261</v>
      </c>
      <c r="D20" s="2" t="n">
        <v>107.821157708059</v>
      </c>
      <c r="E20" s="2" t="n">
        <v>107.668989995173</v>
      </c>
      <c r="F20" s="2" t="n">
        <v>71.9822632831427</v>
      </c>
      <c r="G20" s="2" t="n">
        <v>74.1929278747862</v>
      </c>
      <c r="H20" s="2" t="n">
        <v>72.284569507964</v>
      </c>
      <c r="I20" s="2" t="n">
        <v>72.7599337681002</v>
      </c>
      <c r="J20" s="2" t="n">
        <f aca="false">F20/B20</f>
        <v>0.667444801132889</v>
      </c>
      <c r="K20" s="2" t="n">
        <f aca="false">G20/C20</f>
        <v>0.704886230749999</v>
      </c>
      <c r="L20" s="2" t="n">
        <f aca="false">H20/D20</f>
        <v>0.670411735920001</v>
      </c>
      <c r="M20" s="2" t="n">
        <f aca="false">I20/E20</f>
        <v>0.675774276060007</v>
      </c>
    </row>
    <row r="21" customFormat="false" ht="15" hidden="false" customHeight="false" outlineLevel="0" collapsed="false">
      <c r="A21" s="2" t="n">
        <v>2008</v>
      </c>
      <c r="B21" s="2" t="n">
        <v>116.906826879439</v>
      </c>
      <c r="C21" s="2" t="n">
        <v>113.165808628769</v>
      </c>
      <c r="D21" s="2" t="n">
        <v>116.427648788137</v>
      </c>
      <c r="E21" s="2" t="n">
        <v>116.11843739868</v>
      </c>
      <c r="F21" s="2" t="n">
        <v>78.0288424586199</v>
      </c>
      <c r="G21" s="2" t="n">
        <v>79.7690202941084</v>
      </c>
      <c r="H21" s="2" t="n">
        <v>78.0544621331405</v>
      </c>
      <c r="I21" s="2" t="n">
        <v>78.469852970312</v>
      </c>
      <c r="J21" s="2" t="n">
        <f aca="false">F21/B21</f>
        <v>0.667444703970006</v>
      </c>
      <c r="K21" s="2" t="n">
        <f aca="false">G21/C21</f>
        <v>0.704886230749996</v>
      </c>
      <c r="L21" s="2" t="n">
        <f aca="false">H21/D21</f>
        <v>0.670411735920013</v>
      </c>
      <c r="M21" s="2" t="n">
        <f aca="false">I21/E21</f>
        <v>0.675774276060005</v>
      </c>
    </row>
    <row r="22" customFormat="false" ht="15" hidden="false" customHeight="false" outlineLevel="0" collapsed="false">
      <c r="A22" s="2" t="n">
        <v>2009</v>
      </c>
      <c r="B22" s="2" t="n">
        <v>122.93918207738</v>
      </c>
      <c r="C22" s="2" t="n">
        <v>117.928229747675</v>
      </c>
      <c r="D22" s="2" t="n">
        <v>122.199206858277</v>
      </c>
      <c r="E22" s="2" t="n">
        <v>122.173852913727</v>
      </c>
      <c r="F22" s="2" t="n">
        <v>82.0551059879514</v>
      </c>
      <c r="G22" s="2" t="n">
        <v>83.1259853658593</v>
      </c>
      <c r="H22" s="2" t="n">
        <v>81.9237823979055</v>
      </c>
      <c r="I22" s="2" t="n">
        <v>82.5619470062345</v>
      </c>
      <c r="J22" s="2" t="n">
        <f aca="false">F22/B22</f>
        <v>0.667444703970005</v>
      </c>
      <c r="K22" s="2" t="n">
        <f aca="false">G22/C22</f>
        <v>0.704886230750005</v>
      </c>
      <c r="L22" s="2" t="n">
        <f aca="false">H22/D22</f>
        <v>0.670411735920007</v>
      </c>
      <c r="M22" s="2" t="n">
        <f aca="false">I22/E22</f>
        <v>0.675774276059998</v>
      </c>
    </row>
    <row r="23" customFormat="false" ht="15" hidden="false" customHeight="false" outlineLevel="0" collapsed="false">
      <c r="A23" s="2" t="n">
        <v>2010</v>
      </c>
      <c r="B23" s="2" t="n">
        <v>127.308904514102</v>
      </c>
      <c r="C23" s="2" t="n">
        <v>121.570834448956</v>
      </c>
      <c r="D23" s="2" t="n">
        <v>126.542713400635</v>
      </c>
      <c r="E23" s="2" t="n">
        <v>125.611729513676</v>
      </c>
      <c r="F23" s="2" t="n">
        <v>84.9716540861596</v>
      </c>
      <c r="G23" s="2" t="n">
        <v>85.6936072638567</v>
      </c>
      <c r="H23" s="2" t="n">
        <v>84.8357201589468</v>
      </c>
      <c r="I23" s="2" t="n">
        <v>84.88517557675</v>
      </c>
      <c r="J23" s="2" t="n">
        <f aca="false">F23/B23</f>
        <v>0.667444703969998</v>
      </c>
      <c r="K23" s="2" t="n">
        <f aca="false">G23/C23</f>
        <v>0.704886230749999</v>
      </c>
      <c r="L23" s="2" t="n">
        <f aca="false">H23/D23</f>
        <v>0.67041173592</v>
      </c>
      <c r="M23" s="2" t="n">
        <f aca="false">I23/E23</f>
        <v>0.675774276060008</v>
      </c>
    </row>
    <row r="24" customFormat="false" ht="15" hidden="false" customHeight="false" outlineLevel="0" collapsed="false">
      <c r="A24" s="2" t="n">
        <v>2011</v>
      </c>
      <c r="B24" s="2" t="n">
        <v>133.005383023072</v>
      </c>
      <c r="C24" s="2" t="n">
        <v>127.347211326561</v>
      </c>
      <c r="D24" s="2" t="n">
        <v>131.286712229558</v>
      </c>
      <c r="E24" s="2" t="n">
        <v>131.16637167181</v>
      </c>
      <c r="F24" s="2" t="n">
        <v>88.7737384982522</v>
      </c>
      <c r="G24" s="2" t="n">
        <v>89.7652957885044</v>
      </c>
      <c r="H24" s="2" t="n">
        <v>88.0161526490477</v>
      </c>
      <c r="I24" s="2" t="n">
        <v>88.6388598599349</v>
      </c>
      <c r="J24" s="2" t="n">
        <f aca="false">F24/B24</f>
        <v>0.667444703970011</v>
      </c>
      <c r="K24" s="2" t="n">
        <f aca="false">G24/C24</f>
        <v>0.704886230750008</v>
      </c>
      <c r="L24" s="2" t="n">
        <f aca="false">H24/D24</f>
        <v>0.670411735920002</v>
      </c>
      <c r="M24" s="2" t="n">
        <f aca="false">I24/E24</f>
        <v>0.675774276060004</v>
      </c>
    </row>
    <row r="25" customFormat="false" ht="15" hidden="false" customHeight="false" outlineLevel="0" collapsed="false">
      <c r="A25" s="2" t="n">
        <v>2012</v>
      </c>
      <c r="B25" s="2" t="n">
        <v>139.790947656685</v>
      </c>
      <c r="C25" s="2" t="n">
        <v>132.813582514925</v>
      </c>
      <c r="D25" s="2" t="n">
        <v>138.51853070095</v>
      </c>
      <c r="E25" s="2" t="n">
        <v>136.756276921371</v>
      </c>
      <c r="F25" s="2" t="n">
        <v>93.302727676403</v>
      </c>
      <c r="G25" s="2" t="n">
        <v>93.6184655713508</v>
      </c>
      <c r="H25" s="2" t="n">
        <v>92.8644486243123</v>
      </c>
      <c r="I25" s="2" t="n">
        <v>92.4163740332014</v>
      </c>
      <c r="J25" s="2" t="n">
        <f aca="false">F25/B25</f>
        <v>0.667444703970008</v>
      </c>
      <c r="K25" s="2" t="n">
        <f aca="false">G25/C25</f>
        <v>0.704886230750009</v>
      </c>
      <c r="L25" s="2" t="n">
        <f aca="false">H25/D25</f>
        <v>0.670411735920004</v>
      </c>
      <c r="M25" s="2" t="n">
        <f aca="false">I25/E25</f>
        <v>0.675774276060007</v>
      </c>
    </row>
    <row r="26" customFormat="false" ht="15" hidden="false" customHeight="false" outlineLevel="0" collapsed="false">
      <c r="A26" s="2" t="n">
        <v>2013</v>
      </c>
      <c r="B26" s="2" t="n">
        <v>143.595743808588</v>
      </c>
      <c r="C26" s="2" t="n">
        <v>136.158915768263</v>
      </c>
      <c r="D26" s="2" t="n">
        <v>142.471857975003</v>
      </c>
      <c r="E26" s="2" t="n">
        <v>141.298310658083</v>
      </c>
      <c r="F26" s="2" t="n">
        <v>95.8422187176763</v>
      </c>
      <c r="G26" s="2" t="n">
        <v>95.9765449188973</v>
      </c>
      <c r="H26" s="2" t="n">
        <v>95.5148056247697</v>
      </c>
      <c r="I26" s="2" t="n">
        <v>95.4857635934684</v>
      </c>
      <c r="J26" s="2" t="n">
        <f aca="false">F26/B26</f>
        <v>0.667444703970009</v>
      </c>
      <c r="K26" s="2" t="n">
        <f aca="false">G26/C26</f>
        <v>0.704886230749997</v>
      </c>
      <c r="L26" s="2" t="n">
        <f aca="false">H26/D26</f>
        <v>0.670411735920002</v>
      </c>
      <c r="M26" s="2" t="n">
        <f aca="false">I26/E26</f>
        <v>0.67577427606001</v>
      </c>
    </row>
    <row r="27" customFormat="false" ht="15" hidden="false" customHeight="false" outlineLevel="0" collapsed="false">
      <c r="A27" s="2" t="n">
        <v>2014</v>
      </c>
      <c r="B27" s="2" t="n">
        <v>148.749711203125</v>
      </c>
      <c r="C27" s="2" t="n">
        <v>141.212321325769</v>
      </c>
      <c r="D27" s="2" t="n">
        <v>147.917764319021</v>
      </c>
      <c r="E27" s="2" t="n">
        <v>146.551984957295</v>
      </c>
      <c r="F27" s="2" t="n">
        <v>99.2822069595927</v>
      </c>
      <c r="G27" s="2" t="n">
        <v>99.5386209147816</v>
      </c>
      <c r="H27" s="2" t="n">
        <v>99.1658051505202</v>
      </c>
      <c r="I27" s="2" t="n">
        <v>99.0360615396726</v>
      </c>
      <c r="J27" s="2" t="n">
        <f aca="false">F27/B27</f>
        <v>0.66744470397</v>
      </c>
      <c r="K27" s="2" t="n">
        <f aca="false">G27/C27</f>
        <v>0.704886230750017</v>
      </c>
      <c r="L27" s="2" t="n">
        <f aca="false">H27/D27</f>
        <v>0.670411735919999</v>
      </c>
      <c r="M27" s="2" t="n">
        <f aca="false">I27/E27</f>
        <v>0.675774276060004</v>
      </c>
    </row>
    <row r="28" customFormat="false" ht="15" hidden="false" customHeight="false" outlineLevel="0" collapsed="false">
      <c r="A28" s="2" t="n">
        <v>2015</v>
      </c>
      <c r="F28" s="2" t="n">
        <v>103.220380881551</v>
      </c>
      <c r="G28" s="2" t="n">
        <v>103.385430997722</v>
      </c>
      <c r="H28" s="2" t="n">
        <v>102.838044883552</v>
      </c>
      <c r="I28" s="2" t="n">
        <v>103.235238901347</v>
      </c>
    </row>
    <row r="29" customFormat="false" ht="15" hidden="false" customHeight="false" outlineLevel="0" collapsed="false">
      <c r="A29" s="2" t="n">
        <v>2016</v>
      </c>
      <c r="F29" s="2" t="n">
        <v>105.004302218628</v>
      </c>
      <c r="G29" s="2" t="n">
        <v>105.158140964943</v>
      </c>
      <c r="H29" s="2" t="n">
        <v>104.632075553537</v>
      </c>
      <c r="I29" s="2" t="n">
        <v>105.475468413856</v>
      </c>
    </row>
    <row r="30" customFormat="false" ht="15" hidden="false" customHeight="false" outlineLevel="0" collapsed="false">
      <c r="A30" s="2" t="n">
        <v>2017</v>
      </c>
      <c r="F30" s="2" t="n">
        <v>105.442294124835</v>
      </c>
      <c r="G30" s="2" t="n">
        <v>105.898150818698</v>
      </c>
      <c r="H30" s="2" t="n">
        <v>104.821166402178</v>
      </c>
      <c r="I30" s="2" t="n">
        <v>106.244962545127</v>
      </c>
    </row>
    <row r="31" customFormat="false" ht="15" hidden="false" customHeight="false" outlineLevel="0" collapsed="false">
      <c r="A31" s="2" t="n">
        <v>2018</v>
      </c>
      <c r="F31" s="2" t="n">
        <v>105.206222425733</v>
      </c>
      <c r="G31" s="2" t="n">
        <v>105.316089863724</v>
      </c>
      <c r="H31" s="2" t="n">
        <v>105.273764235272</v>
      </c>
      <c r="I31" s="2" t="n">
        <v>106.112129893086</v>
      </c>
    </row>
    <row r="32" customFormat="false" ht="15" hidden="false" customHeight="false" outlineLevel="0" collapsed="false">
      <c r="A32" s="2" t="n">
        <v>2019</v>
      </c>
      <c r="F32" s="2" t="n">
        <v>105.486084144434</v>
      </c>
      <c r="G32" s="2" t="n">
        <v>105.798227131501</v>
      </c>
      <c r="H32" s="2" t="n">
        <v>105.572482307442</v>
      </c>
      <c r="I32" s="2" t="n">
        <v>106.658037013823</v>
      </c>
    </row>
    <row r="33" customFormat="false" ht="15" hidden="false" customHeight="false" outlineLevel="0" collapsed="false">
      <c r="A33" s="2" t="n">
        <v>2020</v>
      </c>
      <c r="F33" s="2" t="n">
        <v>105.128620927274</v>
      </c>
      <c r="G33" s="2" t="n">
        <v>105.677461306884</v>
      </c>
      <c r="H33" s="2" t="n">
        <v>104.843235071389</v>
      </c>
      <c r="I33" s="2" t="n">
        <v>106.279710807291</v>
      </c>
    </row>
    <row r="34" customFormat="false" ht="15" hidden="false" customHeight="false" outlineLevel="0" collapsed="false">
      <c r="A34" s="2" t="n">
        <v>2021</v>
      </c>
      <c r="F34" s="2" t="n">
        <v>105.268706271843</v>
      </c>
      <c r="G34" s="2" t="n">
        <v>105.914582335972</v>
      </c>
      <c r="H34" s="2" t="n">
        <v>104.799471893283</v>
      </c>
      <c r="I34" s="2" t="n">
        <v>107.025009336531</v>
      </c>
    </row>
    <row r="35" customFormat="false" ht="15" hidden="false" customHeight="false" outlineLevel="0" collapsed="false">
      <c r="A35" s="2" t="n">
        <v>2022</v>
      </c>
      <c r="F35" s="2" t="n">
        <v>108.917498295517</v>
      </c>
      <c r="G35" s="2" t="n">
        <v>109.754869020708</v>
      </c>
      <c r="H35" s="2" t="n">
        <v>108.499920304856</v>
      </c>
      <c r="I35" s="2" t="n">
        <v>110.909287331291</v>
      </c>
    </row>
    <row r="36" customFormat="false" ht="15" hidden="false" customHeight="false" outlineLevel="0" collapsed="false">
      <c r="A36" s="2" t="n">
        <v>2023</v>
      </c>
      <c r="F36" s="2" t="n">
        <v>111.330449457605</v>
      </c>
      <c r="G36" s="2" t="n">
        <v>112.592191430916</v>
      </c>
      <c r="H36" s="2" t="n">
        <v>110.85841320271</v>
      </c>
      <c r="I36" s="2" t="n">
        <v>113.050833721851</v>
      </c>
    </row>
    <row r="37" customFormat="false" ht="15" hidden="false" customHeight="false" outlineLevel="0" collapsed="false">
      <c r="A37" s="2" t="n">
        <v>2024</v>
      </c>
      <c r="F37" s="2" t="n">
        <v>113.052925820299</v>
      </c>
      <c r="G37" s="2" t="n">
        <v>114.61719553759</v>
      </c>
      <c r="H37" s="2" t="n">
        <v>112.427172866184</v>
      </c>
      <c r="I37" s="2" t="n">
        <v>115.40816362175</v>
      </c>
    </row>
    <row r="39" customFormat="false" ht="15" hidden="false" customHeight="false" outlineLevel="0" collapsed="false">
      <c r="H39" s="16" t="s">
        <v>63</v>
      </c>
      <c r="I39" s="16"/>
      <c r="J39" s="15" t="n">
        <f aca="false">AVERAGE(J18:J27)</f>
        <v>0.667443033813257</v>
      </c>
      <c r="K39" s="15" t="n">
        <f aca="false">AVERAGE(K18:K27)</f>
        <v>0.704890450895257</v>
      </c>
      <c r="L39" s="15" t="n">
        <f aca="false">AVERAGE(L18:L27)</f>
        <v>0.670410547900667</v>
      </c>
      <c r="M39" s="15" t="n">
        <f aca="false">AVERAGE(M18:M27)</f>
        <v>0.675776689845545</v>
      </c>
    </row>
    <row r="40" customFormat="false" ht="15" hidden="false" customHeight="false" outlineLevel="0" collapsed="false">
      <c r="H40" s="16"/>
      <c r="I40" s="16"/>
    </row>
  </sheetData>
  <mergeCells count="4">
    <mergeCell ref="B1:E1"/>
    <mergeCell ref="F1:I1"/>
    <mergeCell ref="J1:M1"/>
    <mergeCell ref="H39:I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N5" activeCellId="0" sqref="N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/>
      <c r="B1" s="2"/>
      <c r="C1" s="17" t="s">
        <v>64</v>
      </c>
      <c r="D1" s="17"/>
      <c r="E1" s="17"/>
      <c r="F1" s="17"/>
      <c r="G1" s="17" t="s">
        <v>65</v>
      </c>
      <c r="H1" s="17"/>
      <c r="I1" s="17"/>
      <c r="J1" s="17"/>
      <c r="K1" s="17" t="s">
        <v>66</v>
      </c>
      <c r="L1" s="17"/>
      <c r="M1" s="17"/>
      <c r="N1" s="17"/>
    </row>
    <row r="2" customFormat="false" ht="15" hidden="false" customHeight="false" outlineLevel="0" collapsed="false">
      <c r="C2" s="17" t="s">
        <v>67</v>
      </c>
      <c r="D2" s="17"/>
      <c r="E2" s="17" t="s">
        <v>68</v>
      </c>
      <c r="F2" s="17"/>
      <c r="G2" s="17" t="s">
        <v>67</v>
      </c>
      <c r="H2" s="17"/>
      <c r="I2" s="17" t="s">
        <v>68</v>
      </c>
      <c r="J2" s="17"/>
      <c r="K2" s="17" t="s">
        <v>67</v>
      </c>
      <c r="L2" s="17"/>
      <c r="M2" s="17" t="s">
        <v>68</v>
      </c>
      <c r="N2" s="17"/>
    </row>
    <row r="3" customFormat="false" ht="15" hidden="false" customHeight="fals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71</v>
      </c>
      <c r="F3" s="2" t="s">
        <v>72</v>
      </c>
      <c r="G3" s="2" t="s">
        <v>71</v>
      </c>
      <c r="H3" s="2" t="s">
        <v>72</v>
      </c>
      <c r="I3" s="2" t="s">
        <v>71</v>
      </c>
      <c r="J3" s="2" t="s">
        <v>72</v>
      </c>
      <c r="K3" s="2" t="s">
        <v>71</v>
      </c>
      <c r="L3" s="2" t="s">
        <v>72</v>
      </c>
      <c r="M3" s="2" t="s">
        <v>71</v>
      </c>
      <c r="N3" s="2" t="s">
        <v>72</v>
      </c>
    </row>
    <row r="4" customFormat="false" ht="15" hidden="false" customHeight="false" outlineLevel="0" collapsed="false">
      <c r="A4" s="2" t="n">
        <v>1990</v>
      </c>
      <c r="B4" s="18" t="n">
        <v>1</v>
      </c>
      <c r="C4" s="18" t="n">
        <v>390</v>
      </c>
      <c r="D4" s="18" t="s">
        <v>73</v>
      </c>
      <c r="E4" s="18" t="n">
        <v>390</v>
      </c>
      <c r="F4" s="18" t="s">
        <v>73</v>
      </c>
      <c r="G4" s="18" t="n">
        <v>650.73</v>
      </c>
      <c r="H4" s="18" t="n">
        <v>663.74</v>
      </c>
      <c r="I4" s="18" t="n">
        <v>657</v>
      </c>
      <c r="J4" s="18" t="n">
        <v>670.14</v>
      </c>
      <c r="K4" s="18" t="n">
        <v>687.92</v>
      </c>
      <c r="L4" s="18" t="n">
        <v>688.45</v>
      </c>
      <c r="M4" s="18" t="n">
        <v>685.99</v>
      </c>
      <c r="N4" s="18" t="n">
        <v>694.75</v>
      </c>
    </row>
    <row r="5" customFormat="false" ht="15" hidden="false" customHeight="false" outlineLevel="0" collapsed="false">
      <c r="A5" s="2" t="n">
        <v>1990</v>
      </c>
      <c r="B5" s="18" t="n">
        <v>2</v>
      </c>
      <c r="C5" s="18" t="n">
        <v>390</v>
      </c>
      <c r="D5" s="18" t="s">
        <v>73</v>
      </c>
      <c r="E5" s="18" t="n">
        <v>390</v>
      </c>
      <c r="F5" s="18" t="s">
        <v>73</v>
      </c>
      <c r="G5" s="18" t="n">
        <v>663.3</v>
      </c>
      <c r="H5" s="18" t="n">
        <v>676.57</v>
      </c>
      <c r="I5" s="18" t="n">
        <v>669</v>
      </c>
      <c r="J5" s="18" t="n">
        <v>682.38</v>
      </c>
      <c r="K5" s="18" t="n">
        <v>691.76</v>
      </c>
      <c r="L5" s="18" t="n">
        <v>692.32</v>
      </c>
      <c r="M5" s="18" t="n">
        <v>686.74</v>
      </c>
      <c r="N5" s="18" t="n">
        <v>696.22</v>
      </c>
    </row>
    <row r="6" customFormat="false" ht="15" hidden="false" customHeight="false" outlineLevel="0" collapsed="false">
      <c r="A6" s="2" t="n">
        <v>1990</v>
      </c>
      <c r="B6" s="18" t="n">
        <v>3</v>
      </c>
      <c r="C6" s="18" t="n">
        <v>390</v>
      </c>
      <c r="D6" s="18" t="s">
        <v>73</v>
      </c>
      <c r="E6" s="18" t="n">
        <v>390</v>
      </c>
      <c r="F6" s="18" t="s">
        <v>73</v>
      </c>
      <c r="G6" s="18" t="n">
        <v>695.14</v>
      </c>
      <c r="H6" s="18" t="n">
        <v>709.04</v>
      </c>
      <c r="I6" s="18" t="n">
        <v>703</v>
      </c>
      <c r="J6" s="18" t="n">
        <v>717.06</v>
      </c>
      <c r="K6" s="18" t="n">
        <v>733.37</v>
      </c>
      <c r="L6" s="18" t="n">
        <v>733.83</v>
      </c>
      <c r="M6" s="18" t="n">
        <v>756.48</v>
      </c>
      <c r="N6" s="18" t="n">
        <v>769.63</v>
      </c>
    </row>
    <row r="7" customFormat="false" ht="15" hidden="false" customHeight="false" outlineLevel="0" collapsed="false">
      <c r="A7" s="2" t="n">
        <v>1990</v>
      </c>
      <c r="B7" s="18" t="n">
        <v>4</v>
      </c>
      <c r="C7" s="18" t="n">
        <v>390</v>
      </c>
      <c r="D7" s="18" t="s">
        <v>73</v>
      </c>
      <c r="E7" s="18" t="n">
        <v>390</v>
      </c>
      <c r="F7" s="18" t="s">
        <v>73</v>
      </c>
      <c r="G7" s="18" t="n">
        <v>712.17</v>
      </c>
      <c r="H7" s="18" t="n">
        <v>726.41</v>
      </c>
      <c r="I7" s="18" t="n">
        <v>720.5</v>
      </c>
      <c r="J7" s="18" t="n">
        <v>734.91</v>
      </c>
      <c r="K7" s="18" t="n">
        <v>782.41</v>
      </c>
      <c r="L7" s="18" t="n">
        <v>782.74</v>
      </c>
      <c r="M7" s="18" t="n">
        <v>785.18</v>
      </c>
      <c r="N7" s="18" t="n">
        <v>796.05</v>
      </c>
    </row>
    <row r="8" customFormat="false" ht="15" hidden="false" customHeight="false" outlineLevel="0" collapsed="false">
      <c r="A8" s="2" t="n">
        <v>1990</v>
      </c>
      <c r="B8" s="18" t="n">
        <v>5</v>
      </c>
      <c r="C8" s="18" t="n">
        <v>390</v>
      </c>
      <c r="D8" s="18" t="s">
        <v>73</v>
      </c>
      <c r="E8" s="18" t="n">
        <v>390</v>
      </c>
      <c r="F8" s="18" t="s">
        <v>73</v>
      </c>
      <c r="G8" s="18" t="n">
        <v>727.67</v>
      </c>
      <c r="H8" s="18" t="n">
        <v>742.22</v>
      </c>
      <c r="I8" s="18" t="n">
        <v>734.5</v>
      </c>
      <c r="J8" s="18" t="n">
        <v>749.19</v>
      </c>
      <c r="K8" s="18" t="n">
        <v>821.32</v>
      </c>
      <c r="L8" s="18" t="n">
        <v>822.54</v>
      </c>
      <c r="M8" s="18" t="n">
        <v>821.88</v>
      </c>
      <c r="N8" s="18" t="n">
        <v>833.86</v>
      </c>
    </row>
    <row r="9" customFormat="false" ht="15" hidden="false" customHeight="false" outlineLevel="0" collapsed="false">
      <c r="A9" s="2" t="n">
        <v>1990</v>
      </c>
      <c r="B9" s="18" t="n">
        <v>6</v>
      </c>
      <c r="C9" s="18" t="n">
        <v>390</v>
      </c>
      <c r="D9" s="18" t="s">
        <v>73</v>
      </c>
      <c r="E9" s="18" t="n">
        <v>390</v>
      </c>
      <c r="F9" s="18" t="s">
        <v>73</v>
      </c>
      <c r="G9" s="18" t="n">
        <v>742.83</v>
      </c>
      <c r="H9" s="18" t="n">
        <v>757.69</v>
      </c>
      <c r="I9" s="18" t="n">
        <v>748.5</v>
      </c>
      <c r="J9" s="18" t="n">
        <v>763.47</v>
      </c>
      <c r="K9" s="18" t="n">
        <v>848.69</v>
      </c>
      <c r="L9" s="18" t="n">
        <v>850.19</v>
      </c>
      <c r="M9" s="18" t="n">
        <v>853.18</v>
      </c>
      <c r="N9" s="18" t="n">
        <v>864.6</v>
      </c>
    </row>
    <row r="10" customFormat="false" ht="15" hidden="false" customHeight="false" outlineLevel="0" collapsed="false">
      <c r="A10" s="2" t="n">
        <v>1990</v>
      </c>
      <c r="B10" s="18" t="n">
        <v>7</v>
      </c>
      <c r="C10" s="18" t="n">
        <v>390</v>
      </c>
      <c r="D10" s="18" t="s">
        <v>73</v>
      </c>
      <c r="E10" s="18" t="n">
        <v>390</v>
      </c>
      <c r="F10" s="18" t="s">
        <v>73</v>
      </c>
      <c r="G10" s="18" t="n">
        <v>778.02</v>
      </c>
      <c r="H10" s="18" t="n">
        <v>793.58</v>
      </c>
      <c r="I10" s="18" t="n">
        <v>792.5</v>
      </c>
      <c r="J10" s="18" t="n">
        <v>808.35</v>
      </c>
      <c r="K10" s="18" t="n">
        <v>897.4</v>
      </c>
      <c r="L10" s="18" t="n">
        <v>898.25</v>
      </c>
      <c r="M10" s="18" t="n">
        <v>903.09</v>
      </c>
      <c r="N10" s="18" t="n">
        <v>916.26</v>
      </c>
    </row>
    <row r="11" customFormat="false" ht="15" hidden="false" customHeight="false" outlineLevel="0" collapsed="false">
      <c r="A11" s="2" t="n">
        <v>1990</v>
      </c>
      <c r="B11" s="18" t="n">
        <v>8</v>
      </c>
      <c r="C11" s="18" t="n">
        <v>390</v>
      </c>
      <c r="D11" s="18" t="s">
        <v>73</v>
      </c>
      <c r="E11" s="18" t="n">
        <v>390</v>
      </c>
      <c r="F11" s="18" t="s">
        <v>73</v>
      </c>
      <c r="G11" s="18" t="n">
        <v>800.3</v>
      </c>
      <c r="H11" s="18" t="n">
        <v>816.3</v>
      </c>
      <c r="I11" s="18" t="n">
        <v>806.5</v>
      </c>
      <c r="J11" s="18" t="n">
        <v>822.63</v>
      </c>
      <c r="K11" s="18" t="n">
        <v>901.92</v>
      </c>
      <c r="L11" s="18" t="n">
        <v>902.35</v>
      </c>
      <c r="M11" s="18" t="n">
        <v>896.35</v>
      </c>
      <c r="N11" s="18" t="n">
        <v>909.75</v>
      </c>
    </row>
    <row r="12" customFormat="false" ht="15" hidden="false" customHeight="false" outlineLevel="0" collapsed="false">
      <c r="A12" s="2" t="n">
        <v>1990</v>
      </c>
      <c r="B12" s="18" t="n">
        <v>9</v>
      </c>
      <c r="C12" s="18" t="n">
        <v>390</v>
      </c>
      <c r="D12" s="18" t="s">
        <v>73</v>
      </c>
      <c r="E12" s="18" t="n">
        <v>390</v>
      </c>
      <c r="F12" s="18" t="s">
        <v>73</v>
      </c>
      <c r="G12" s="18" t="n">
        <v>815.25</v>
      </c>
      <c r="H12" s="18" t="n">
        <v>831.56</v>
      </c>
      <c r="I12" s="18" t="n">
        <v>820.5</v>
      </c>
      <c r="J12" s="18" t="n">
        <v>836.91</v>
      </c>
      <c r="K12" s="18" t="n">
        <v>878.57</v>
      </c>
      <c r="L12" s="18" t="n">
        <v>879.61</v>
      </c>
      <c r="M12" s="18" t="n">
        <v>861.2</v>
      </c>
      <c r="N12" s="18" t="n">
        <v>876.98</v>
      </c>
    </row>
    <row r="13" customFormat="false" ht="15" hidden="false" customHeight="false" outlineLevel="0" collapsed="false">
      <c r="A13" s="2" t="n">
        <v>1990</v>
      </c>
      <c r="B13" s="18" t="n">
        <v>10</v>
      </c>
      <c r="C13" s="18" t="n">
        <v>390</v>
      </c>
      <c r="D13" s="18" t="s">
        <v>73</v>
      </c>
      <c r="E13" s="18" t="n">
        <v>390</v>
      </c>
      <c r="F13" s="18" t="s">
        <v>73</v>
      </c>
      <c r="G13" s="18" t="n">
        <v>830.67</v>
      </c>
      <c r="H13" s="18" t="n">
        <v>847.28</v>
      </c>
      <c r="I13" s="18" t="n">
        <v>838</v>
      </c>
      <c r="J13" s="18" t="n">
        <v>854.76</v>
      </c>
      <c r="K13" s="18" t="n">
        <v>861.23</v>
      </c>
      <c r="L13" s="18" t="n">
        <v>862.92</v>
      </c>
      <c r="M13" s="18" t="n">
        <v>860.98</v>
      </c>
      <c r="N13" s="18" t="n">
        <v>874.35</v>
      </c>
    </row>
    <row r="14" customFormat="false" ht="15" hidden="false" customHeight="false" outlineLevel="0" collapsed="false">
      <c r="A14" s="2" t="n">
        <v>1990</v>
      </c>
      <c r="B14" s="18" t="n">
        <v>11</v>
      </c>
      <c r="C14" s="18" t="n">
        <v>390</v>
      </c>
      <c r="D14" s="18" t="s">
        <v>73</v>
      </c>
      <c r="E14" s="18" t="n">
        <v>390</v>
      </c>
      <c r="F14" s="18" t="s">
        <v>73</v>
      </c>
      <c r="G14" s="18" t="n">
        <v>846.33</v>
      </c>
      <c r="H14" s="18" t="n">
        <v>863.26</v>
      </c>
      <c r="I14" s="18" t="n">
        <v>852</v>
      </c>
      <c r="J14" s="18" t="n">
        <v>869.04</v>
      </c>
      <c r="K14" s="18" t="n">
        <v>871.72</v>
      </c>
      <c r="L14" s="18" t="n">
        <v>873.01</v>
      </c>
      <c r="M14" s="18" t="n">
        <v>872.14</v>
      </c>
      <c r="N14" s="18" t="n">
        <v>885.02</v>
      </c>
    </row>
    <row r="15" customFormat="false" ht="15" hidden="false" customHeight="false" outlineLevel="0" collapsed="false">
      <c r="A15" s="2" t="n">
        <v>1990</v>
      </c>
      <c r="B15" s="18" t="n">
        <v>12</v>
      </c>
      <c r="C15" s="18" t="n">
        <v>390</v>
      </c>
      <c r="D15" s="18" t="s">
        <v>73</v>
      </c>
      <c r="E15" s="18" t="n">
        <v>390</v>
      </c>
      <c r="F15" s="18" t="s">
        <v>73</v>
      </c>
      <c r="G15" s="18" t="n">
        <v>861.21</v>
      </c>
      <c r="H15" s="18" t="n">
        <v>878.43</v>
      </c>
      <c r="I15" s="18" t="n">
        <v>869.5</v>
      </c>
      <c r="J15" s="18" t="n">
        <v>886.89</v>
      </c>
      <c r="K15" s="18" t="n">
        <v>877.38</v>
      </c>
      <c r="L15" s="18" t="n">
        <v>876.69</v>
      </c>
      <c r="M15" s="18" t="n">
        <v>883.7</v>
      </c>
      <c r="N15" s="18" t="n">
        <v>898.1</v>
      </c>
    </row>
    <row r="16" customFormat="false" ht="15" hidden="false" customHeight="false" outlineLevel="0" collapsed="false">
      <c r="A16" s="2" t="n">
        <v>1991</v>
      </c>
      <c r="B16" s="18" t="n">
        <v>1</v>
      </c>
      <c r="C16" s="18" t="n">
        <v>390</v>
      </c>
      <c r="D16" s="18" t="s">
        <v>73</v>
      </c>
      <c r="E16" s="18" t="n">
        <v>390</v>
      </c>
      <c r="F16" s="18" t="s">
        <v>73</v>
      </c>
      <c r="G16" s="18" t="n">
        <v>888.86</v>
      </c>
      <c r="H16" s="18" t="n">
        <v>906.64</v>
      </c>
      <c r="I16" s="18" t="n">
        <v>936.5</v>
      </c>
      <c r="J16" s="18" t="n">
        <v>955.23</v>
      </c>
      <c r="K16" s="18" t="n">
        <v>935.03</v>
      </c>
      <c r="L16" s="18" t="n">
        <v>936.17</v>
      </c>
      <c r="M16" s="18" t="n">
        <v>966.53</v>
      </c>
      <c r="N16" s="18" t="n">
        <v>981.52</v>
      </c>
    </row>
    <row r="17" customFormat="false" ht="15" hidden="false" customHeight="false" outlineLevel="0" collapsed="false">
      <c r="A17" s="2" t="n">
        <v>1991</v>
      </c>
      <c r="B17" s="18" t="n">
        <v>2</v>
      </c>
      <c r="C17" s="18" t="n">
        <v>390</v>
      </c>
      <c r="D17" s="18" t="s">
        <v>73</v>
      </c>
      <c r="E17" s="18" t="n">
        <v>390</v>
      </c>
      <c r="F17" s="18" t="s">
        <v>73</v>
      </c>
      <c r="G17" s="18" t="n">
        <v>944.94</v>
      </c>
      <c r="H17" s="18" t="n">
        <v>963.84</v>
      </c>
      <c r="I17" s="18" t="n">
        <v>950.5</v>
      </c>
      <c r="J17" s="18" t="n">
        <v>969.51</v>
      </c>
      <c r="K17" s="18" t="n">
        <v>977.37</v>
      </c>
      <c r="L17" s="18" t="n">
        <v>978.4</v>
      </c>
      <c r="M17" s="18" t="n">
        <v>974.93</v>
      </c>
      <c r="N17" s="18" t="n">
        <v>987.24</v>
      </c>
    </row>
    <row r="18" customFormat="false" ht="15" hidden="false" customHeight="false" outlineLevel="0" collapsed="false">
      <c r="A18" s="2" t="n">
        <v>1991</v>
      </c>
      <c r="B18" s="18" t="n">
        <v>3</v>
      </c>
      <c r="C18" s="18" t="n">
        <v>390</v>
      </c>
      <c r="D18" s="18" t="s">
        <v>73</v>
      </c>
      <c r="E18" s="18" t="n">
        <v>390</v>
      </c>
      <c r="F18" s="18" t="s">
        <v>73</v>
      </c>
      <c r="G18" s="18" t="n">
        <v>958.55</v>
      </c>
      <c r="H18" s="18" t="n">
        <v>977.72</v>
      </c>
      <c r="I18" s="18" t="n">
        <v>964.5</v>
      </c>
      <c r="J18" s="18" t="n">
        <v>983.79</v>
      </c>
      <c r="K18" s="18" t="n">
        <v>1014.1</v>
      </c>
      <c r="L18" s="18" t="n">
        <v>1015.01</v>
      </c>
      <c r="M18" s="18" t="n">
        <v>1035.29</v>
      </c>
      <c r="N18" s="18" t="n">
        <v>1052.34</v>
      </c>
    </row>
    <row r="19" customFormat="false" ht="15" hidden="false" customHeight="false" outlineLevel="0" collapsed="false">
      <c r="A19" s="2" t="n">
        <v>1991</v>
      </c>
      <c r="B19" s="18" t="n">
        <v>4</v>
      </c>
      <c r="C19" s="18" t="n">
        <v>390</v>
      </c>
      <c r="D19" s="18" t="s">
        <v>73</v>
      </c>
      <c r="E19" s="18" t="n">
        <v>390</v>
      </c>
      <c r="F19" s="18" t="s">
        <v>73</v>
      </c>
      <c r="G19" s="18" t="n">
        <v>974.05</v>
      </c>
      <c r="H19" s="18" t="n">
        <v>993.53</v>
      </c>
      <c r="I19" s="18" t="n">
        <v>982</v>
      </c>
      <c r="J19" s="18" t="n">
        <v>1001.64</v>
      </c>
      <c r="K19" s="18" t="n">
        <v>1036.38</v>
      </c>
      <c r="L19" s="18" t="n">
        <v>1037.77</v>
      </c>
      <c r="M19" s="18" t="n">
        <v>1053.34</v>
      </c>
      <c r="N19" s="18" t="n">
        <v>1069.43</v>
      </c>
    </row>
    <row r="20" customFormat="false" ht="15" hidden="false" customHeight="false" outlineLevel="0" collapsed="false">
      <c r="A20" s="2" t="n">
        <v>1991</v>
      </c>
      <c r="B20" s="18" t="n">
        <v>5</v>
      </c>
      <c r="C20" s="18" t="n">
        <v>390</v>
      </c>
      <c r="D20" s="18" t="s">
        <v>73</v>
      </c>
      <c r="E20" s="18" t="n">
        <v>390</v>
      </c>
      <c r="F20" s="18" t="s">
        <v>73</v>
      </c>
      <c r="G20" s="18" t="n">
        <v>989.83</v>
      </c>
      <c r="H20" s="18" t="n">
        <v>1009.63</v>
      </c>
      <c r="I20" s="18" t="n">
        <v>996</v>
      </c>
      <c r="J20" s="18" t="n">
        <v>1015.92</v>
      </c>
      <c r="K20" s="18" t="n">
        <v>1111.86</v>
      </c>
      <c r="L20" s="18" t="n">
        <v>1113.89</v>
      </c>
      <c r="M20" s="18" t="n">
        <v>1118.6</v>
      </c>
      <c r="N20" s="18" t="n">
        <v>1133.97</v>
      </c>
    </row>
    <row r="21" customFormat="false" ht="15" hidden="false" customHeight="false" outlineLevel="0" collapsed="false">
      <c r="A21" s="2" t="n">
        <v>1991</v>
      </c>
      <c r="B21" s="18" t="n">
        <v>6</v>
      </c>
      <c r="C21" s="18" t="n">
        <v>390</v>
      </c>
      <c r="D21" s="18" t="s">
        <v>73</v>
      </c>
      <c r="E21" s="18" t="n">
        <v>390</v>
      </c>
      <c r="F21" s="18" t="s">
        <v>73</v>
      </c>
      <c r="G21" s="18" t="n">
        <v>1004.75</v>
      </c>
      <c r="H21" s="18" t="n">
        <v>1024.85</v>
      </c>
      <c r="I21" s="18" t="n">
        <v>1010</v>
      </c>
      <c r="J21" s="18" t="n">
        <v>1030.2</v>
      </c>
      <c r="K21" s="18" t="n">
        <v>1118.39</v>
      </c>
      <c r="L21" s="18" t="n">
        <v>1121.55</v>
      </c>
      <c r="M21" s="18" t="n">
        <v>1102.98</v>
      </c>
      <c r="N21" s="18" t="n">
        <v>1118.98</v>
      </c>
    </row>
    <row r="22" customFormat="false" ht="15" hidden="false" customHeight="false" outlineLevel="0" collapsed="false">
      <c r="A22" s="2" t="n">
        <v>1991</v>
      </c>
      <c r="B22" s="18" t="n">
        <v>7</v>
      </c>
      <c r="C22" s="18" t="n">
        <v>390</v>
      </c>
      <c r="D22" s="18" t="s">
        <v>73</v>
      </c>
      <c r="E22" s="18" t="n">
        <v>390</v>
      </c>
      <c r="F22" s="18" t="s">
        <v>73</v>
      </c>
      <c r="G22" s="18" t="n">
        <v>1034.61</v>
      </c>
      <c r="H22" s="18" t="n">
        <v>1055.31</v>
      </c>
      <c r="I22" s="18" t="n">
        <v>1068.5</v>
      </c>
      <c r="J22" s="18" t="n">
        <v>1089.87</v>
      </c>
      <c r="K22" s="18" t="n">
        <v>1119.07</v>
      </c>
      <c r="L22" s="18" t="n">
        <v>1121.01</v>
      </c>
      <c r="M22" s="18" t="n">
        <v>1109.44</v>
      </c>
      <c r="N22" s="18" t="n">
        <v>1125.45</v>
      </c>
    </row>
    <row r="23" customFormat="false" ht="15" hidden="false" customHeight="false" outlineLevel="0" collapsed="false">
      <c r="A23" s="2" t="n">
        <v>1991</v>
      </c>
      <c r="B23" s="18" t="n">
        <v>8</v>
      </c>
      <c r="C23" s="18" t="n">
        <v>390</v>
      </c>
      <c r="D23" s="18" t="s">
        <v>73</v>
      </c>
      <c r="E23" s="18" t="n">
        <v>390</v>
      </c>
      <c r="F23" s="18" t="s">
        <v>73</v>
      </c>
      <c r="G23" s="18" t="n">
        <v>1076.45</v>
      </c>
      <c r="H23" s="18" t="n">
        <v>1097.98</v>
      </c>
      <c r="I23" s="18" t="n">
        <v>1082.5</v>
      </c>
      <c r="J23" s="18" t="n">
        <v>1104.15</v>
      </c>
      <c r="K23" s="18" t="n">
        <v>1111.83</v>
      </c>
      <c r="L23" s="18" t="n">
        <v>1113.3</v>
      </c>
      <c r="M23" s="18" t="n">
        <v>1107.63</v>
      </c>
      <c r="N23" s="18" t="n">
        <v>1123.45</v>
      </c>
    </row>
    <row r="24" customFormat="false" ht="15" hidden="false" customHeight="false" outlineLevel="0" collapsed="false">
      <c r="A24" s="2" t="n">
        <v>1991</v>
      </c>
      <c r="B24" s="18" t="n">
        <v>9</v>
      </c>
      <c r="C24" s="18" t="n">
        <v>390</v>
      </c>
      <c r="D24" s="18" t="s">
        <v>73</v>
      </c>
      <c r="E24" s="18" t="n">
        <v>390</v>
      </c>
      <c r="F24" s="18" t="s">
        <v>73</v>
      </c>
      <c r="G24" s="18" t="n">
        <v>1091.67</v>
      </c>
      <c r="H24" s="18" t="n">
        <v>1113.5</v>
      </c>
      <c r="I24" s="18" t="n">
        <v>1100</v>
      </c>
      <c r="J24" s="18" t="n">
        <v>1122</v>
      </c>
      <c r="K24" s="18" t="n">
        <v>1125.96</v>
      </c>
      <c r="L24" s="18" t="n">
        <v>1127.25</v>
      </c>
      <c r="M24" s="18" t="n">
        <v>1126.58</v>
      </c>
      <c r="N24" s="18" t="n">
        <v>1141.52</v>
      </c>
    </row>
    <row r="25" customFormat="false" ht="15" hidden="false" customHeight="false" outlineLevel="0" collapsed="false">
      <c r="A25" s="2" t="n">
        <v>1991</v>
      </c>
      <c r="B25" s="18" t="n">
        <v>10</v>
      </c>
      <c r="C25" s="18" t="n">
        <v>390</v>
      </c>
      <c r="D25" s="18" t="s">
        <v>73</v>
      </c>
      <c r="E25" s="18" t="n">
        <v>390</v>
      </c>
      <c r="F25" s="18" t="s">
        <v>73</v>
      </c>
      <c r="G25" s="18" t="n">
        <v>1107.16</v>
      </c>
      <c r="H25" s="18" t="n">
        <v>1129.3</v>
      </c>
      <c r="I25" s="18" t="n">
        <v>1114</v>
      </c>
      <c r="J25" s="18" t="n">
        <v>1136.28</v>
      </c>
      <c r="K25" s="18" t="n">
        <v>1161.46</v>
      </c>
      <c r="L25" s="18" t="n">
        <v>1162.3</v>
      </c>
      <c r="M25" s="18" t="n">
        <v>1170.72</v>
      </c>
      <c r="N25" s="18" t="n">
        <v>1188.05</v>
      </c>
    </row>
    <row r="26" customFormat="false" ht="15" hidden="false" customHeight="false" outlineLevel="0" collapsed="false">
      <c r="A26" s="2" t="n">
        <v>1991</v>
      </c>
      <c r="B26" s="18" t="n">
        <v>11</v>
      </c>
      <c r="C26" s="18" t="n">
        <v>390</v>
      </c>
      <c r="D26" s="18" t="s">
        <v>73</v>
      </c>
      <c r="E26" s="18" t="n">
        <v>390</v>
      </c>
      <c r="F26" s="18" t="s">
        <v>73</v>
      </c>
      <c r="G26" s="18" t="n">
        <v>1154.48</v>
      </c>
      <c r="H26" s="18" t="n">
        <v>1177.57</v>
      </c>
      <c r="I26" s="18" t="n">
        <v>1240.5</v>
      </c>
      <c r="J26" s="18" t="n">
        <v>1265.31</v>
      </c>
      <c r="K26" s="18" t="n">
        <v>1194.79</v>
      </c>
      <c r="L26" s="18" t="n">
        <v>1196.68</v>
      </c>
      <c r="M26" s="18" t="n">
        <v>1265.29</v>
      </c>
      <c r="N26" s="18" t="n">
        <v>1283.66</v>
      </c>
    </row>
    <row r="27" customFormat="false" ht="15" hidden="false" customHeight="false" outlineLevel="0" collapsed="false">
      <c r="A27" s="2" t="n">
        <v>1991</v>
      </c>
      <c r="B27" s="18" t="n">
        <v>12</v>
      </c>
      <c r="C27" s="18" t="n">
        <v>390</v>
      </c>
      <c r="D27" s="18" t="s">
        <v>73</v>
      </c>
      <c r="E27" s="18" t="n">
        <v>390</v>
      </c>
      <c r="F27" s="18" t="s">
        <v>73</v>
      </c>
      <c r="G27" s="18" t="n">
        <v>1250.13</v>
      </c>
      <c r="H27" s="18" t="n">
        <v>1275.13</v>
      </c>
      <c r="I27" s="18" t="n">
        <v>1258</v>
      </c>
      <c r="J27" s="18" t="n">
        <v>1283.16</v>
      </c>
      <c r="K27" s="18" t="n">
        <v>1287.29</v>
      </c>
      <c r="L27" s="18" t="n">
        <v>1286.84</v>
      </c>
      <c r="M27" s="18" t="n">
        <v>1290.77</v>
      </c>
      <c r="N27" s="18" t="n">
        <v>1310.25</v>
      </c>
    </row>
    <row r="28" customFormat="false" ht="15" hidden="false" customHeight="false" outlineLevel="0" collapsed="false">
      <c r="A28" s="2" t="n">
        <v>1992</v>
      </c>
      <c r="B28" s="18" t="n">
        <v>1</v>
      </c>
      <c r="C28" s="18" t="n">
        <v>390</v>
      </c>
      <c r="D28" s="18" t="s">
        <v>73</v>
      </c>
      <c r="E28" s="18" t="n">
        <v>390</v>
      </c>
      <c r="F28" s="18" t="s">
        <v>73</v>
      </c>
      <c r="G28" s="18" t="n">
        <v>1265.95</v>
      </c>
      <c r="H28" s="18" t="n">
        <v>1291.27</v>
      </c>
      <c r="I28" s="18" t="n">
        <v>1272</v>
      </c>
      <c r="J28" s="18" t="n">
        <v>1297.44</v>
      </c>
      <c r="K28" s="18" t="n">
        <v>1323.74</v>
      </c>
      <c r="L28" s="18" t="n">
        <v>1343.68</v>
      </c>
      <c r="M28" s="18" t="n">
        <v>1323.23</v>
      </c>
      <c r="N28" s="18" t="n">
        <v>1342.49</v>
      </c>
    </row>
    <row r="29" customFormat="false" ht="15" hidden="false" customHeight="false" outlineLevel="0" collapsed="false">
      <c r="A29" s="2" t="n">
        <v>1992</v>
      </c>
      <c r="B29" s="18" t="n">
        <v>2</v>
      </c>
      <c r="C29" s="18" t="n">
        <v>390</v>
      </c>
      <c r="D29" s="18" t="s">
        <v>73</v>
      </c>
      <c r="E29" s="18" t="n">
        <v>390</v>
      </c>
      <c r="F29" s="18" t="s">
        <v>73</v>
      </c>
      <c r="G29" s="18" t="n">
        <v>1280.75</v>
      </c>
      <c r="H29" s="18" t="n">
        <v>1306.37</v>
      </c>
      <c r="I29" s="18" t="n">
        <v>1286</v>
      </c>
      <c r="J29" s="18" t="n">
        <v>1311.72</v>
      </c>
      <c r="K29" s="18" t="n">
        <v>1331.53</v>
      </c>
      <c r="L29" s="18" t="n">
        <v>1351.92</v>
      </c>
      <c r="M29" s="18" t="n">
        <v>1336.7</v>
      </c>
      <c r="N29" s="18" t="n">
        <v>1360.29</v>
      </c>
    </row>
    <row r="30" customFormat="false" ht="15" hidden="false" customHeight="false" outlineLevel="0" collapsed="false">
      <c r="A30" s="2" t="n">
        <v>1992</v>
      </c>
      <c r="B30" s="18" t="n">
        <v>3</v>
      </c>
      <c r="C30" s="18" t="n">
        <v>390</v>
      </c>
      <c r="D30" s="18" t="s">
        <v>73</v>
      </c>
      <c r="E30" s="18" t="n">
        <v>390</v>
      </c>
      <c r="F30" s="18" t="s">
        <v>73</v>
      </c>
      <c r="G30" s="18" t="n">
        <v>1296.15</v>
      </c>
      <c r="H30" s="18" t="n">
        <v>1322.07</v>
      </c>
      <c r="I30" s="18" t="n">
        <v>1303.5</v>
      </c>
      <c r="J30" s="18" t="n">
        <v>1329.57</v>
      </c>
      <c r="K30" s="18" t="n">
        <v>1330.91</v>
      </c>
      <c r="L30" s="18" t="n">
        <v>1350.7</v>
      </c>
      <c r="M30" s="18" t="n">
        <v>1331.17</v>
      </c>
      <c r="N30" s="18" t="n">
        <v>1351.76</v>
      </c>
    </row>
    <row r="31" customFormat="false" ht="15" hidden="false" customHeight="false" outlineLevel="0" collapsed="false">
      <c r="A31" s="2" t="n">
        <v>1992</v>
      </c>
      <c r="B31" s="18" t="n">
        <v>4</v>
      </c>
      <c r="C31" s="18" t="n">
        <v>390</v>
      </c>
      <c r="D31" s="18" t="s">
        <v>73</v>
      </c>
      <c r="E31" s="18" t="n">
        <v>390</v>
      </c>
      <c r="F31" s="18" t="s">
        <v>73</v>
      </c>
      <c r="G31" s="18" t="n">
        <v>1322.6</v>
      </c>
      <c r="H31" s="18" t="n">
        <v>1349.05</v>
      </c>
      <c r="I31" s="18" t="n">
        <v>1330.5</v>
      </c>
      <c r="J31" s="18" t="n">
        <v>1357.11</v>
      </c>
      <c r="K31" s="18" t="n">
        <v>1369.15</v>
      </c>
      <c r="L31" s="18" t="n">
        <v>1390.63</v>
      </c>
      <c r="M31" s="18" t="n">
        <v>1426.21</v>
      </c>
      <c r="N31" s="18" t="n">
        <v>1452.53</v>
      </c>
    </row>
    <row r="32" customFormat="false" ht="15" hidden="false" customHeight="false" outlineLevel="0" collapsed="false">
      <c r="A32" s="2" t="n">
        <v>1992</v>
      </c>
      <c r="B32" s="18" t="n">
        <v>5</v>
      </c>
      <c r="C32" s="18" t="n">
        <v>390</v>
      </c>
      <c r="D32" s="18" t="s">
        <v>73</v>
      </c>
      <c r="E32" s="18" t="n">
        <v>390</v>
      </c>
      <c r="F32" s="18" t="s">
        <v>73</v>
      </c>
      <c r="G32" s="18" t="n">
        <v>1341.95</v>
      </c>
      <c r="H32" s="18" t="n">
        <v>1368.79</v>
      </c>
      <c r="I32" s="18" t="n">
        <v>1398.5</v>
      </c>
      <c r="J32" s="18" t="n">
        <v>1426.47</v>
      </c>
      <c r="K32" s="18" t="n">
        <v>1439</v>
      </c>
      <c r="L32" s="18" t="n">
        <v>1463.68</v>
      </c>
      <c r="M32" s="18" t="n">
        <v>1440.85</v>
      </c>
      <c r="N32" s="18" t="n">
        <v>1469.63</v>
      </c>
    </row>
    <row r="33" customFormat="false" ht="15" hidden="false" customHeight="false" outlineLevel="0" collapsed="false">
      <c r="A33" s="2" t="n">
        <v>1992</v>
      </c>
      <c r="B33" s="18" t="n">
        <v>6</v>
      </c>
      <c r="C33" s="18" t="n">
        <v>390</v>
      </c>
      <c r="D33" s="18" t="s">
        <v>73</v>
      </c>
      <c r="E33" s="18" t="n">
        <v>390</v>
      </c>
      <c r="F33" s="18" t="s">
        <v>73</v>
      </c>
      <c r="G33" s="18" t="n">
        <v>1408.05</v>
      </c>
      <c r="H33" s="18" t="n">
        <v>1436.21</v>
      </c>
      <c r="I33" s="18" t="n">
        <v>1416</v>
      </c>
      <c r="J33" s="18" t="n">
        <v>1444.32</v>
      </c>
      <c r="K33" s="18" t="n">
        <v>1464.84</v>
      </c>
      <c r="L33" s="18" t="n">
        <v>1490.32</v>
      </c>
      <c r="M33" s="18" t="n">
        <v>1591.7</v>
      </c>
      <c r="N33" s="18" t="n">
        <v>1518.9</v>
      </c>
    </row>
    <row r="34" customFormat="false" ht="15" hidden="false" customHeight="false" outlineLevel="0" collapsed="false">
      <c r="A34" s="2" t="n">
        <v>1992</v>
      </c>
      <c r="B34" s="18" t="n">
        <v>7</v>
      </c>
      <c r="C34" s="18" t="n">
        <v>390</v>
      </c>
      <c r="D34" s="18" t="s">
        <v>73</v>
      </c>
      <c r="E34" s="18" t="n">
        <v>390</v>
      </c>
      <c r="F34" s="18" t="s">
        <v>73</v>
      </c>
      <c r="G34" s="18" t="n">
        <v>1423.48</v>
      </c>
      <c r="H34" s="18" t="n">
        <v>1451.95</v>
      </c>
      <c r="I34" s="18" t="n">
        <v>1430</v>
      </c>
      <c r="J34" s="18" t="n">
        <v>1458.6</v>
      </c>
      <c r="K34" s="18" t="n">
        <v>1504.58</v>
      </c>
      <c r="L34" s="18" t="n">
        <v>1530.55</v>
      </c>
      <c r="M34" s="18" t="n">
        <v>1542.41</v>
      </c>
      <c r="N34" s="18" t="n">
        <v>1568.89</v>
      </c>
    </row>
    <row r="35" customFormat="false" ht="15" hidden="false" customHeight="false" outlineLevel="0" collapsed="false">
      <c r="A35" s="2" t="n">
        <v>1992</v>
      </c>
      <c r="B35" s="18" t="n">
        <v>8</v>
      </c>
      <c r="C35" s="18" t="n">
        <v>390</v>
      </c>
      <c r="D35" s="18" t="s">
        <v>73</v>
      </c>
      <c r="E35" s="18" t="n">
        <v>390</v>
      </c>
      <c r="F35" s="18" t="s">
        <v>73</v>
      </c>
      <c r="G35" s="18" t="n">
        <v>1439.28</v>
      </c>
      <c r="H35" s="18" t="n">
        <v>1468.06</v>
      </c>
      <c r="I35" s="18" t="n">
        <v>1447.5</v>
      </c>
      <c r="J35" s="18" t="n">
        <v>1476.45</v>
      </c>
      <c r="K35" s="18" t="n">
        <v>1653.58</v>
      </c>
      <c r="L35" s="18" t="n">
        <v>1691.64</v>
      </c>
      <c r="M35" s="18" t="n">
        <v>1725.36</v>
      </c>
      <c r="N35" s="18" t="n">
        <v>1757.76</v>
      </c>
    </row>
    <row r="36" customFormat="false" ht="15" hidden="false" customHeight="false" outlineLevel="0" collapsed="false">
      <c r="A36" s="2" t="n">
        <v>1992</v>
      </c>
      <c r="B36" s="18" t="n">
        <v>9</v>
      </c>
      <c r="C36" s="18" t="n">
        <v>390</v>
      </c>
      <c r="D36" s="18" t="s">
        <v>73</v>
      </c>
      <c r="E36" s="18" t="n">
        <v>390</v>
      </c>
      <c r="F36" s="18" t="s">
        <v>73</v>
      </c>
      <c r="G36" s="18" t="n">
        <v>1924.66</v>
      </c>
      <c r="H36" s="18" t="n">
        <v>1928.61</v>
      </c>
      <c r="I36" s="18" t="n">
        <v>2000</v>
      </c>
      <c r="J36" s="18" t="n">
        <v>2000</v>
      </c>
      <c r="K36" s="18" t="n">
        <v>1801.55</v>
      </c>
      <c r="L36" s="18" t="n">
        <v>1848.45</v>
      </c>
      <c r="M36" s="18" t="n">
        <v>1805.13</v>
      </c>
      <c r="N36" s="18" t="n">
        <v>1835.69</v>
      </c>
    </row>
    <row r="37" customFormat="false" ht="15" hidden="false" customHeight="false" outlineLevel="0" collapsed="false">
      <c r="A37" s="2" t="n">
        <v>1992</v>
      </c>
      <c r="B37" s="18" t="n">
        <v>10</v>
      </c>
      <c r="C37" s="18" t="n">
        <v>390</v>
      </c>
      <c r="D37" s="18" t="s">
        <v>73</v>
      </c>
      <c r="E37" s="18" t="n">
        <v>390</v>
      </c>
      <c r="F37" s="18" t="s">
        <v>73</v>
      </c>
      <c r="G37" s="18" t="n">
        <v>2000</v>
      </c>
      <c r="H37" s="18" t="n">
        <v>2000</v>
      </c>
      <c r="I37" s="18" t="n">
        <v>2000</v>
      </c>
      <c r="J37" s="18" t="n">
        <v>2000</v>
      </c>
      <c r="K37" s="18" t="n">
        <v>1862.05</v>
      </c>
      <c r="L37" s="18" t="n">
        <v>1896.21</v>
      </c>
      <c r="M37" s="18" t="n">
        <v>1908.42</v>
      </c>
      <c r="N37" s="18" t="n">
        <v>1940.09</v>
      </c>
    </row>
    <row r="38" customFormat="false" ht="15" hidden="false" customHeight="false" outlineLevel="0" collapsed="false">
      <c r="A38" s="2" t="n">
        <v>1992</v>
      </c>
      <c r="B38" s="18" t="n">
        <v>11</v>
      </c>
      <c r="C38" s="18" t="n">
        <v>390</v>
      </c>
      <c r="D38" s="18" t="s">
        <v>73</v>
      </c>
      <c r="E38" s="18" t="n">
        <v>390</v>
      </c>
      <c r="F38" s="18" t="s">
        <v>73</v>
      </c>
      <c r="G38" s="18" t="n">
        <v>1952.63</v>
      </c>
      <c r="H38" s="18" t="n">
        <v>2000</v>
      </c>
      <c r="I38" s="18" t="n">
        <v>1700</v>
      </c>
      <c r="J38" s="18" t="n">
        <v>2000</v>
      </c>
      <c r="K38" s="18" t="n">
        <v>1931.75</v>
      </c>
      <c r="L38" s="18" t="n">
        <v>1944</v>
      </c>
      <c r="M38" s="18" t="n">
        <v>1919.4</v>
      </c>
      <c r="N38" s="18" t="n">
        <v>1920.9</v>
      </c>
    </row>
    <row r="39" customFormat="false" ht="15" hidden="false" customHeight="false" outlineLevel="0" collapsed="false">
      <c r="A39" s="2" t="n">
        <v>1992</v>
      </c>
      <c r="B39" s="18" t="n">
        <v>12</v>
      </c>
      <c r="C39" s="18" t="n">
        <v>390</v>
      </c>
      <c r="D39" s="18" t="s">
        <v>73</v>
      </c>
      <c r="E39" s="18" t="n">
        <v>390</v>
      </c>
      <c r="F39" s="18" t="s">
        <v>73</v>
      </c>
      <c r="G39" s="18" t="n">
        <v>1700</v>
      </c>
      <c r="H39" s="18" t="n">
        <v>2000</v>
      </c>
      <c r="I39" s="18" t="n">
        <v>1700</v>
      </c>
      <c r="J39" s="18" t="n">
        <v>2000</v>
      </c>
      <c r="K39" s="18" t="n">
        <v>1872.44</v>
      </c>
      <c r="L39" s="18" t="n">
        <v>1874.48</v>
      </c>
      <c r="M39" s="18" t="n">
        <v>1843.5</v>
      </c>
      <c r="N39" s="18" t="n">
        <v>1846.2</v>
      </c>
    </row>
    <row r="40" customFormat="false" ht="15" hidden="false" customHeight="false" outlineLevel="0" collapsed="false">
      <c r="A40" s="2" t="n">
        <v>1993</v>
      </c>
      <c r="B40" s="18" t="n">
        <v>1</v>
      </c>
      <c r="C40" s="18" t="n">
        <v>390</v>
      </c>
      <c r="D40" s="18" t="s">
        <v>73</v>
      </c>
      <c r="E40" s="18" t="n">
        <v>390</v>
      </c>
      <c r="F40" s="18" t="s">
        <v>73</v>
      </c>
      <c r="G40" s="18" t="n">
        <v>1700</v>
      </c>
      <c r="H40" s="18" t="n">
        <v>2000</v>
      </c>
      <c r="I40" s="18" t="n">
        <v>1700</v>
      </c>
      <c r="J40" s="18" t="n">
        <v>2000</v>
      </c>
      <c r="K40" s="18" t="n">
        <v>1855.7</v>
      </c>
      <c r="L40" s="18" t="n">
        <v>1856.75</v>
      </c>
      <c r="M40" s="18" t="n">
        <v>1841.4</v>
      </c>
      <c r="N40" s="18" t="n">
        <v>1842.5</v>
      </c>
    </row>
    <row r="41" customFormat="false" ht="15" hidden="false" customHeight="false" outlineLevel="0" collapsed="false">
      <c r="A41" s="2" t="n">
        <v>1993</v>
      </c>
      <c r="B41" s="18" t="n">
        <v>2</v>
      </c>
      <c r="C41" s="18" t="n">
        <v>390</v>
      </c>
      <c r="D41" s="18" t="s">
        <v>73</v>
      </c>
      <c r="E41" s="18" t="n">
        <v>390</v>
      </c>
      <c r="F41" s="18" t="s">
        <v>73</v>
      </c>
      <c r="G41" s="18" t="n">
        <v>1700</v>
      </c>
      <c r="H41" s="18" t="n">
        <v>2000</v>
      </c>
      <c r="I41" s="18" t="n">
        <v>1700</v>
      </c>
      <c r="J41" s="18" t="n">
        <v>2000</v>
      </c>
      <c r="K41" s="18" t="n">
        <v>1844.44</v>
      </c>
      <c r="L41" s="18" t="n">
        <v>1845.17</v>
      </c>
      <c r="M41" s="18" t="n">
        <v>1845.8</v>
      </c>
      <c r="N41" s="18" t="n">
        <v>1846.2</v>
      </c>
    </row>
    <row r="42" customFormat="false" ht="15" hidden="false" customHeight="false" outlineLevel="0" collapsed="false">
      <c r="A42" s="2" t="n">
        <v>1993</v>
      </c>
      <c r="B42" s="18" t="n">
        <v>3</v>
      </c>
      <c r="C42" s="18" t="n">
        <v>390</v>
      </c>
      <c r="D42" s="18" t="s">
        <v>73</v>
      </c>
      <c r="E42" s="18" t="n">
        <v>390</v>
      </c>
      <c r="F42" s="18" t="s">
        <v>73</v>
      </c>
      <c r="G42" s="18" t="n">
        <v>1700</v>
      </c>
      <c r="H42" s="18" t="n">
        <v>2000</v>
      </c>
      <c r="I42" s="18" t="n">
        <v>1700</v>
      </c>
      <c r="J42" s="18" t="n">
        <v>2000</v>
      </c>
      <c r="K42" s="18" t="n">
        <v>1861.91</v>
      </c>
      <c r="L42" s="18" t="n">
        <v>1862.66</v>
      </c>
      <c r="M42" s="18" t="n">
        <v>1867.01</v>
      </c>
      <c r="N42" s="18" t="n">
        <v>1868.17</v>
      </c>
    </row>
    <row r="43" customFormat="false" ht="15" hidden="false" customHeight="false" outlineLevel="0" collapsed="false">
      <c r="A43" s="2" t="n">
        <v>1993</v>
      </c>
      <c r="B43" s="18" t="n">
        <v>4</v>
      </c>
      <c r="C43" s="18" t="n">
        <v>390</v>
      </c>
      <c r="D43" s="18" t="s">
        <v>73</v>
      </c>
      <c r="E43" s="18" t="n">
        <v>390</v>
      </c>
      <c r="F43" s="18" t="s">
        <v>73</v>
      </c>
      <c r="G43" s="18" t="n">
        <v>1700</v>
      </c>
      <c r="H43" s="18" t="n">
        <v>2000</v>
      </c>
      <c r="I43" s="18" t="n">
        <v>1700</v>
      </c>
      <c r="J43" s="18" t="n">
        <v>2000</v>
      </c>
      <c r="K43" s="18" t="n">
        <v>1880.4</v>
      </c>
      <c r="L43" s="18" t="n">
        <v>1881.14</v>
      </c>
      <c r="M43" s="18" t="n">
        <v>1892.72</v>
      </c>
      <c r="N43" s="18" t="n">
        <v>1893.53</v>
      </c>
    </row>
    <row r="44" customFormat="false" ht="15" hidden="false" customHeight="false" outlineLevel="0" collapsed="false">
      <c r="A44" s="2" t="n">
        <v>1993</v>
      </c>
      <c r="B44" s="18" t="n">
        <v>5</v>
      </c>
      <c r="C44" s="18" t="n">
        <v>390</v>
      </c>
      <c r="D44" s="18" t="s">
        <v>73</v>
      </c>
      <c r="E44" s="18" t="n">
        <v>390</v>
      </c>
      <c r="F44" s="18" t="s">
        <v>73</v>
      </c>
      <c r="G44" s="18" t="n">
        <v>1700</v>
      </c>
      <c r="H44" s="18" t="n">
        <v>2000</v>
      </c>
      <c r="I44" s="18" t="n">
        <v>1700</v>
      </c>
      <c r="J44" s="18" t="n">
        <v>2000</v>
      </c>
      <c r="K44" s="18" t="n">
        <v>1911.84</v>
      </c>
      <c r="L44" s="18" t="n">
        <v>1912.77</v>
      </c>
      <c r="M44" s="18" t="n">
        <v>1917.98</v>
      </c>
      <c r="N44" s="18" t="n">
        <v>1918.88</v>
      </c>
    </row>
    <row r="45" customFormat="false" ht="15" hidden="false" customHeight="false" outlineLevel="0" collapsed="false">
      <c r="A45" s="2" t="n">
        <v>1993</v>
      </c>
      <c r="B45" s="18" t="n">
        <v>6</v>
      </c>
      <c r="C45" s="18" t="n">
        <v>390</v>
      </c>
      <c r="D45" s="18" t="s">
        <v>73</v>
      </c>
      <c r="E45" s="18" t="n">
        <v>390</v>
      </c>
      <c r="F45" s="18" t="s">
        <v>73</v>
      </c>
      <c r="G45" s="18" t="n">
        <v>1700</v>
      </c>
      <c r="H45" s="18" t="n">
        <v>2000</v>
      </c>
      <c r="I45" s="18" t="n">
        <v>1700</v>
      </c>
      <c r="J45" s="18" t="n">
        <v>2000</v>
      </c>
      <c r="K45" s="18" t="n">
        <v>1907.01</v>
      </c>
      <c r="L45" s="18" t="n">
        <v>1907.86</v>
      </c>
      <c r="M45" s="18" t="n">
        <v>1906.02</v>
      </c>
      <c r="N45" s="18" t="n">
        <v>1907.02</v>
      </c>
    </row>
    <row r="46" customFormat="false" ht="15" hidden="false" customHeight="false" outlineLevel="0" collapsed="false">
      <c r="A46" s="2" t="n">
        <v>1993</v>
      </c>
      <c r="B46" s="18" t="n">
        <v>7</v>
      </c>
      <c r="C46" s="18" t="n">
        <v>390</v>
      </c>
      <c r="D46" s="18" t="s">
        <v>73</v>
      </c>
      <c r="E46" s="18" t="n">
        <v>390</v>
      </c>
      <c r="F46" s="18" t="s">
        <v>73</v>
      </c>
      <c r="G46" s="18" t="n">
        <v>1700</v>
      </c>
      <c r="H46" s="18" t="n">
        <v>2000</v>
      </c>
      <c r="I46" s="18" t="n">
        <v>1700</v>
      </c>
      <c r="J46" s="18" t="n">
        <v>2000</v>
      </c>
      <c r="K46" s="18" t="n">
        <v>1926.83</v>
      </c>
      <c r="L46" s="18" t="n">
        <v>1927.57</v>
      </c>
      <c r="M46" s="18" t="n">
        <v>1937.98</v>
      </c>
      <c r="N46" s="18" t="n">
        <v>1938.41</v>
      </c>
    </row>
    <row r="47" customFormat="false" ht="15" hidden="false" customHeight="false" outlineLevel="0" collapsed="false">
      <c r="A47" s="2" t="n">
        <v>1993</v>
      </c>
      <c r="B47" s="18" t="n">
        <v>8</v>
      </c>
      <c r="C47" s="18" t="n">
        <v>390</v>
      </c>
      <c r="D47" s="18" t="s">
        <v>73</v>
      </c>
      <c r="E47" s="18" t="n">
        <v>390</v>
      </c>
      <c r="F47" s="18" t="s">
        <v>73</v>
      </c>
      <c r="G47" s="18" t="n">
        <v>1700</v>
      </c>
      <c r="H47" s="18" t="n">
        <v>2000</v>
      </c>
      <c r="I47" s="18" t="n">
        <v>1700</v>
      </c>
      <c r="J47" s="18" t="n">
        <v>2000</v>
      </c>
      <c r="K47" s="18" t="n">
        <v>1946.1</v>
      </c>
      <c r="L47" s="18" t="n">
        <v>1946.63</v>
      </c>
      <c r="M47" s="18" t="n">
        <v>1947.97</v>
      </c>
      <c r="N47" s="18" t="n">
        <v>1948.21</v>
      </c>
    </row>
    <row r="48" customFormat="false" ht="15" hidden="false" customHeight="false" outlineLevel="0" collapsed="false">
      <c r="A48" s="2" t="n">
        <v>1993</v>
      </c>
      <c r="B48" s="18" t="n">
        <v>9</v>
      </c>
      <c r="C48" s="18" t="n">
        <v>390</v>
      </c>
      <c r="D48" s="18" t="s">
        <v>73</v>
      </c>
      <c r="E48" s="18" t="n">
        <v>390</v>
      </c>
      <c r="F48" s="18" t="s">
        <v>73</v>
      </c>
      <c r="G48" s="18" t="n">
        <v>1701.23</v>
      </c>
      <c r="H48" s="18" t="n">
        <v>1953.5</v>
      </c>
      <c r="I48" s="18" t="n">
        <v>1701</v>
      </c>
      <c r="J48" s="18" t="n">
        <v>1951</v>
      </c>
      <c r="K48" s="18" t="n">
        <v>1950.94</v>
      </c>
      <c r="L48" s="18" t="n">
        <v>1951.27</v>
      </c>
      <c r="M48" s="18" t="n">
        <v>1947</v>
      </c>
      <c r="N48" s="18" t="n">
        <v>1947</v>
      </c>
    </row>
    <row r="49" customFormat="false" ht="15" hidden="false" customHeight="false" outlineLevel="0" collapsed="false">
      <c r="A49" s="2" t="n">
        <v>1993</v>
      </c>
      <c r="B49" s="18" t="n">
        <v>10</v>
      </c>
      <c r="C49" s="18" t="n">
        <v>390</v>
      </c>
      <c r="D49" s="18" t="s">
        <v>73</v>
      </c>
      <c r="E49" s="18" t="n">
        <v>390</v>
      </c>
      <c r="F49" s="18" t="s">
        <v>73</v>
      </c>
      <c r="G49" s="18" t="n">
        <v>1693.5</v>
      </c>
      <c r="H49" s="18" t="n">
        <v>1943.5</v>
      </c>
      <c r="I49" s="18" t="n">
        <v>1689</v>
      </c>
      <c r="J49" s="18" t="n">
        <v>1939</v>
      </c>
      <c r="K49" s="18" t="n">
        <v>1946.75</v>
      </c>
      <c r="L49" s="18" t="n">
        <v>1947.4</v>
      </c>
      <c r="M49" s="18" t="n">
        <v>1965</v>
      </c>
      <c r="N49" s="18" t="n">
        <v>1966</v>
      </c>
    </row>
    <row r="50" customFormat="false" ht="15" hidden="false" customHeight="false" outlineLevel="0" collapsed="false">
      <c r="A50" s="2" t="n">
        <v>1993</v>
      </c>
      <c r="B50" s="18" t="n">
        <v>11</v>
      </c>
      <c r="C50" s="18" t="n">
        <v>390</v>
      </c>
      <c r="D50" s="18" t="s">
        <v>73</v>
      </c>
      <c r="E50" s="18" t="n">
        <v>390</v>
      </c>
      <c r="F50" s="18" t="s">
        <v>73</v>
      </c>
      <c r="G50" s="18" t="n">
        <v>1725.1</v>
      </c>
      <c r="H50" s="18" t="n">
        <v>1975.1</v>
      </c>
      <c r="I50" s="18" t="n">
        <v>1724</v>
      </c>
      <c r="J50" s="18" t="n">
        <v>1974</v>
      </c>
      <c r="K50" s="18" t="n">
        <v>1977.15</v>
      </c>
      <c r="L50" s="18" t="n">
        <v>1977.8</v>
      </c>
      <c r="M50" s="18" t="n">
        <v>1983</v>
      </c>
      <c r="N50" s="18" t="n">
        <v>1983</v>
      </c>
    </row>
    <row r="51" customFormat="false" ht="15" hidden="false" customHeight="false" outlineLevel="0" collapsed="false">
      <c r="A51" s="2" t="n">
        <v>1993</v>
      </c>
      <c r="B51" s="18" t="n">
        <v>12</v>
      </c>
      <c r="C51" s="18" t="n">
        <v>442.87</v>
      </c>
      <c r="D51" s="18" t="s">
        <v>73</v>
      </c>
      <c r="E51" s="18" t="n">
        <v>2029</v>
      </c>
      <c r="F51" s="18" t="s">
        <v>73</v>
      </c>
      <c r="G51" s="18" t="n">
        <v>1751.17</v>
      </c>
      <c r="H51" s="18" t="n">
        <v>2001.17</v>
      </c>
      <c r="I51" s="18" t="n">
        <v>1779</v>
      </c>
      <c r="J51" s="18" t="n">
        <v>2029</v>
      </c>
      <c r="K51" s="18" t="n">
        <v>2013.86</v>
      </c>
      <c r="L51" s="18" t="n">
        <v>2015.05</v>
      </c>
      <c r="M51" s="18" t="n">
        <v>2044</v>
      </c>
      <c r="N51" s="18" t="n">
        <v>2046</v>
      </c>
    </row>
    <row r="52" customFormat="false" ht="15" hidden="false" customHeight="false" outlineLevel="0" collapsed="false">
      <c r="A52" s="2" t="n">
        <v>1994</v>
      </c>
      <c r="B52" s="18" t="n">
        <v>1</v>
      </c>
      <c r="C52" s="18" t="n">
        <v>2069.76</v>
      </c>
      <c r="D52" s="18" t="s">
        <v>73</v>
      </c>
      <c r="E52" s="18" t="n">
        <v>2095</v>
      </c>
      <c r="F52" s="18" t="s">
        <v>73</v>
      </c>
      <c r="G52" s="18" t="n">
        <v>1819.76</v>
      </c>
      <c r="H52" s="18" t="n">
        <v>2069.76</v>
      </c>
      <c r="I52" s="18" t="n">
        <v>1845</v>
      </c>
      <c r="J52" s="18" t="n">
        <v>2095</v>
      </c>
      <c r="K52" s="18" t="n">
        <v>2081</v>
      </c>
      <c r="L52" s="18" t="n">
        <v>2082.33</v>
      </c>
      <c r="M52" s="18" t="n">
        <v>2082</v>
      </c>
      <c r="N52" s="18" t="n">
        <v>2083</v>
      </c>
    </row>
    <row r="53" customFormat="false" ht="15" hidden="false" customHeight="false" outlineLevel="0" collapsed="false">
      <c r="A53" s="2" t="n">
        <v>1994</v>
      </c>
      <c r="B53" s="18" t="n">
        <v>2</v>
      </c>
      <c r="C53" s="18" t="n">
        <v>2072.33</v>
      </c>
      <c r="D53" s="18" t="s">
        <v>73</v>
      </c>
      <c r="E53" s="18" t="n">
        <v>2086</v>
      </c>
      <c r="F53" s="18" t="s">
        <v>73</v>
      </c>
      <c r="G53" s="18" t="n">
        <v>1822.33</v>
      </c>
      <c r="H53" s="18" t="n">
        <v>2072.33</v>
      </c>
      <c r="I53" s="18" t="n">
        <v>1836</v>
      </c>
      <c r="J53" s="18" t="n">
        <v>2086</v>
      </c>
      <c r="K53" s="18" t="n">
        <v>2067</v>
      </c>
      <c r="L53" s="18" t="n">
        <v>2068.5</v>
      </c>
      <c r="M53" s="18" t="n">
        <v>2085</v>
      </c>
      <c r="N53" s="18" t="n">
        <v>2086</v>
      </c>
    </row>
    <row r="54" customFormat="false" ht="15" hidden="false" customHeight="false" outlineLevel="0" collapsed="false">
      <c r="A54" s="2" t="n">
        <v>1994</v>
      </c>
      <c r="B54" s="18" t="n">
        <v>3</v>
      </c>
      <c r="C54" s="18" t="n">
        <v>2107.04</v>
      </c>
      <c r="D54" s="18" t="s">
        <v>73</v>
      </c>
      <c r="E54" s="18" t="n">
        <v>2147</v>
      </c>
      <c r="F54" s="18" t="s">
        <v>73</v>
      </c>
      <c r="G54" s="18" t="n">
        <v>1857.04</v>
      </c>
      <c r="H54" s="18" t="n">
        <v>2107.04</v>
      </c>
      <c r="I54" s="18" t="n">
        <v>1897</v>
      </c>
      <c r="J54" s="18" t="n">
        <v>2147</v>
      </c>
      <c r="K54" s="18" t="n">
        <v>2119.22</v>
      </c>
      <c r="L54" s="18" t="n">
        <v>2120.43</v>
      </c>
      <c r="M54" s="18" t="n">
        <v>2148</v>
      </c>
      <c r="N54" s="18" t="n">
        <v>2149</v>
      </c>
    </row>
    <row r="55" customFormat="false" ht="15" hidden="false" customHeight="false" outlineLevel="0" collapsed="false">
      <c r="A55" s="2" t="n">
        <v>1994</v>
      </c>
      <c r="B55" s="18" t="n">
        <v>4</v>
      </c>
      <c r="C55" s="18" t="n">
        <v>2156.63</v>
      </c>
      <c r="D55" s="18" t="s">
        <v>73</v>
      </c>
      <c r="E55" s="18" t="n">
        <v>2164</v>
      </c>
      <c r="F55" s="18" t="s">
        <v>73</v>
      </c>
      <c r="G55" s="18" t="n">
        <v>1906.63</v>
      </c>
      <c r="H55" s="18" t="n">
        <v>2156.63</v>
      </c>
      <c r="I55" s="18" t="n">
        <v>1914</v>
      </c>
      <c r="J55" s="18" t="n">
        <v>2164</v>
      </c>
      <c r="K55" s="18" t="n">
        <v>2160.47</v>
      </c>
      <c r="L55" s="18" t="n">
        <v>2161.42</v>
      </c>
      <c r="M55" s="18" t="n">
        <v>2166</v>
      </c>
      <c r="N55" s="18" t="n">
        <v>2166</v>
      </c>
    </row>
    <row r="56" customFormat="false" ht="15" hidden="false" customHeight="false" outlineLevel="0" collapsed="false">
      <c r="A56" s="2" t="n">
        <v>1994</v>
      </c>
      <c r="B56" s="18" t="n">
        <v>5</v>
      </c>
      <c r="C56" s="18" t="n">
        <v>2168.86</v>
      </c>
      <c r="D56" s="18" t="s">
        <v>73</v>
      </c>
      <c r="E56" s="18" t="n">
        <v>2168</v>
      </c>
      <c r="F56" s="18" t="s">
        <v>73</v>
      </c>
      <c r="G56" s="18" t="n">
        <v>1918.86</v>
      </c>
      <c r="H56" s="18" t="n">
        <v>2168.86</v>
      </c>
      <c r="I56" s="18" t="n">
        <v>1918</v>
      </c>
      <c r="J56" s="18" t="n">
        <v>2168</v>
      </c>
      <c r="K56" s="18" t="n">
        <v>2169.14</v>
      </c>
      <c r="L56" s="18" t="n">
        <v>2169.62</v>
      </c>
      <c r="M56" s="18" t="n">
        <v>2171</v>
      </c>
      <c r="N56" s="18" t="n">
        <v>2172</v>
      </c>
    </row>
    <row r="57" customFormat="false" ht="15" hidden="false" customHeight="false" outlineLevel="0" collapsed="false">
      <c r="A57" s="2" t="n">
        <v>1994</v>
      </c>
      <c r="B57" s="18" t="n">
        <v>6</v>
      </c>
      <c r="C57" s="18" t="n">
        <v>2177.27</v>
      </c>
      <c r="D57" s="18" t="s">
        <v>73</v>
      </c>
      <c r="E57" s="18" t="n">
        <v>2184</v>
      </c>
      <c r="F57" s="18" t="s">
        <v>73</v>
      </c>
      <c r="G57" s="18" t="n">
        <v>1927.27</v>
      </c>
      <c r="H57" s="18" t="n">
        <v>2177.27</v>
      </c>
      <c r="I57" s="18" t="n">
        <v>1934</v>
      </c>
      <c r="J57" s="18" t="n">
        <v>2184</v>
      </c>
      <c r="K57" s="18" t="n">
        <v>2179.41</v>
      </c>
      <c r="L57" s="18" t="n">
        <v>2180.32</v>
      </c>
      <c r="M57" s="18" t="n">
        <v>2180</v>
      </c>
      <c r="N57" s="18" t="n">
        <v>2181</v>
      </c>
    </row>
    <row r="58" customFormat="false" ht="15" hidden="false" customHeight="false" outlineLevel="0" collapsed="false">
      <c r="A58" s="2" t="n">
        <v>1994</v>
      </c>
      <c r="B58" s="18" t="n">
        <v>7</v>
      </c>
      <c r="C58" s="18" t="n">
        <v>2191.14</v>
      </c>
      <c r="D58" s="18" t="s">
        <v>73</v>
      </c>
      <c r="E58" s="18" t="n">
        <v>2206</v>
      </c>
      <c r="F58" s="18" t="s">
        <v>73</v>
      </c>
      <c r="G58" s="18" t="n">
        <v>1941.14</v>
      </c>
      <c r="H58" s="18" t="n">
        <v>2191.14</v>
      </c>
      <c r="I58" s="18" t="n">
        <v>1956</v>
      </c>
      <c r="J58" s="18" t="n">
        <v>2206</v>
      </c>
      <c r="K58" s="18" t="n">
        <v>2198.19</v>
      </c>
      <c r="L58" s="18" t="n">
        <v>2199</v>
      </c>
      <c r="M58" s="18" t="n">
        <v>2216</v>
      </c>
      <c r="N58" s="18" t="n">
        <v>2217</v>
      </c>
    </row>
    <row r="59" customFormat="false" ht="15" hidden="false" customHeight="false" outlineLevel="0" collapsed="false">
      <c r="A59" s="2" t="n">
        <v>1994</v>
      </c>
      <c r="B59" s="18" t="n">
        <v>8</v>
      </c>
      <c r="C59" s="18" t="n">
        <v>2234.41</v>
      </c>
      <c r="D59" s="18" t="s">
        <v>73</v>
      </c>
      <c r="E59" s="18" t="n">
        <v>2253</v>
      </c>
      <c r="F59" s="18" t="s">
        <v>73</v>
      </c>
      <c r="G59" s="18" t="n">
        <v>1984.41</v>
      </c>
      <c r="H59" s="18" t="n">
        <v>2234.41</v>
      </c>
      <c r="I59" s="18" t="n">
        <v>2003</v>
      </c>
      <c r="J59" s="18" t="n">
        <v>2253</v>
      </c>
      <c r="K59" s="18" t="n">
        <v>2243.18</v>
      </c>
      <c r="L59" s="18" t="n">
        <v>2243.86</v>
      </c>
      <c r="M59" s="18" t="n">
        <v>2265</v>
      </c>
      <c r="N59" s="18" t="n">
        <v>2265</v>
      </c>
    </row>
    <row r="60" customFormat="false" ht="15" hidden="false" customHeight="false" outlineLevel="0" collapsed="false">
      <c r="A60" s="2" t="n">
        <v>1994</v>
      </c>
      <c r="B60" s="18" t="n">
        <v>9</v>
      </c>
      <c r="C60" s="18" t="n">
        <v>2261.64</v>
      </c>
      <c r="D60" s="18" t="s">
        <v>73</v>
      </c>
      <c r="E60" s="18" t="n">
        <v>2262</v>
      </c>
      <c r="F60" s="18" t="s">
        <v>73</v>
      </c>
      <c r="G60" s="18" t="n">
        <v>2011.64</v>
      </c>
      <c r="H60" s="18" t="n">
        <v>2261.64</v>
      </c>
      <c r="I60" s="18" t="n">
        <v>2012</v>
      </c>
      <c r="J60" s="18" t="n">
        <v>2262</v>
      </c>
      <c r="K60" s="18" t="n">
        <v>2261.45</v>
      </c>
      <c r="L60" s="18" t="n">
        <v>2262</v>
      </c>
      <c r="M60" s="18" t="n">
        <v>2260</v>
      </c>
      <c r="N60" s="18" t="n">
        <v>2261</v>
      </c>
    </row>
    <row r="61" customFormat="false" ht="15" hidden="false" customHeight="false" outlineLevel="0" collapsed="false">
      <c r="A61" s="2" t="n">
        <v>1994</v>
      </c>
      <c r="B61" s="18" t="n">
        <v>10</v>
      </c>
      <c r="C61" s="18" t="n">
        <v>2272.76</v>
      </c>
      <c r="D61" s="18" t="s">
        <v>73</v>
      </c>
      <c r="E61" s="18" t="n">
        <v>2283</v>
      </c>
      <c r="F61" s="18" t="s">
        <v>73</v>
      </c>
      <c r="G61" s="18" t="n">
        <v>2022.76</v>
      </c>
      <c r="H61" s="18" t="n">
        <v>2272.76</v>
      </c>
      <c r="I61" s="18" t="n">
        <v>2033</v>
      </c>
      <c r="J61" s="18" t="n">
        <v>2283</v>
      </c>
      <c r="K61" s="18" t="n">
        <v>2277.76</v>
      </c>
      <c r="L61" s="18" t="n">
        <v>2278.52</v>
      </c>
      <c r="M61" s="18" t="n">
        <v>2287</v>
      </c>
      <c r="N61" s="18" t="n">
        <v>2288</v>
      </c>
    </row>
    <row r="62" customFormat="false" ht="15" hidden="false" customHeight="false" outlineLevel="0" collapsed="false">
      <c r="A62" s="2" t="n">
        <v>1994</v>
      </c>
      <c r="B62" s="18" t="n">
        <v>11</v>
      </c>
      <c r="C62" s="18" t="n">
        <v>2296.15</v>
      </c>
      <c r="D62" s="18" t="s">
        <v>73</v>
      </c>
      <c r="E62" s="18" t="n">
        <v>2309</v>
      </c>
      <c r="F62" s="18" t="s">
        <v>73</v>
      </c>
      <c r="G62" s="18" t="n">
        <v>2229.75</v>
      </c>
      <c r="H62" s="18" t="n">
        <v>2296.15</v>
      </c>
      <c r="I62" s="18" t="n">
        <v>2263</v>
      </c>
      <c r="J62" s="18" t="n">
        <v>2309</v>
      </c>
      <c r="K62" s="18" t="n">
        <v>2300.8</v>
      </c>
      <c r="L62" s="18" t="n">
        <v>2301.55</v>
      </c>
      <c r="M62" s="18" t="n">
        <v>2304</v>
      </c>
      <c r="N62" s="18" t="n">
        <v>2306</v>
      </c>
    </row>
    <row r="63" customFormat="false" ht="15" hidden="false" customHeight="false" outlineLevel="0" collapsed="false">
      <c r="A63" s="2" t="n">
        <v>1994</v>
      </c>
      <c r="B63" s="18" t="n">
        <v>12</v>
      </c>
      <c r="C63" s="18" t="n">
        <v>2304.68</v>
      </c>
      <c r="D63" s="18" t="s">
        <v>73</v>
      </c>
      <c r="E63" s="18" t="n">
        <v>2297</v>
      </c>
      <c r="F63" s="18" t="s">
        <v>73</v>
      </c>
      <c r="G63" s="18" t="n">
        <v>2258.68</v>
      </c>
      <c r="H63" s="18" t="n">
        <v>2304.68</v>
      </c>
      <c r="I63" s="18" t="n">
        <v>2251</v>
      </c>
      <c r="J63" s="18" t="n">
        <v>2297</v>
      </c>
      <c r="K63" s="18" t="n">
        <v>2297.2</v>
      </c>
      <c r="L63" s="18" t="n">
        <v>2299.05</v>
      </c>
      <c r="M63" s="18" t="n">
        <v>2268</v>
      </c>
      <c r="N63" s="18" t="n">
        <v>2270</v>
      </c>
    </row>
    <row r="64" customFormat="false" ht="15" hidden="false" customHeight="false" outlineLevel="0" collapsed="false">
      <c r="A64" s="2" t="n">
        <v>1995</v>
      </c>
      <c r="B64" s="18" t="n">
        <v>1</v>
      </c>
      <c r="C64" s="18" t="n">
        <v>2324</v>
      </c>
      <c r="D64" s="18" t="s">
        <v>73</v>
      </c>
      <c r="E64" s="18" t="n">
        <v>2379</v>
      </c>
      <c r="F64" s="18" t="s">
        <v>73</v>
      </c>
      <c r="G64" s="18" t="n">
        <v>2277.36</v>
      </c>
      <c r="H64" s="18" t="n">
        <v>2324</v>
      </c>
      <c r="I64" s="18" t="n">
        <v>2331</v>
      </c>
      <c r="J64" s="18" t="n">
        <v>2379</v>
      </c>
      <c r="K64" s="18" t="n">
        <v>2344.73</v>
      </c>
      <c r="L64" s="18" t="n">
        <v>2346.59</v>
      </c>
      <c r="M64" s="18" t="n">
        <v>2374</v>
      </c>
      <c r="N64" s="18" t="n">
        <v>2376</v>
      </c>
    </row>
    <row r="65" customFormat="false" ht="15" hidden="false" customHeight="false" outlineLevel="0" collapsed="false">
      <c r="A65" s="2" t="n">
        <v>1995</v>
      </c>
      <c r="B65" s="18" t="n">
        <v>2</v>
      </c>
      <c r="C65" s="18" t="n">
        <v>2383.75</v>
      </c>
      <c r="D65" s="18" t="s">
        <v>73</v>
      </c>
      <c r="E65" s="18" t="n">
        <v>2409</v>
      </c>
      <c r="F65" s="18" t="s">
        <v>73</v>
      </c>
      <c r="G65" s="18" t="n">
        <v>2336.25</v>
      </c>
      <c r="H65" s="18" t="n">
        <v>2383.75</v>
      </c>
      <c r="I65" s="18" t="n">
        <v>2361</v>
      </c>
      <c r="J65" s="18" t="n">
        <v>2409</v>
      </c>
      <c r="K65" s="18" t="n">
        <v>2388.5</v>
      </c>
      <c r="L65" s="18" t="n">
        <v>2391.4</v>
      </c>
      <c r="M65" s="18" t="n">
        <v>2414</v>
      </c>
      <c r="N65" s="18" t="n">
        <v>2416</v>
      </c>
    </row>
    <row r="66" customFormat="false" ht="15" hidden="false" customHeight="false" outlineLevel="0" collapsed="false">
      <c r="A66" s="2" t="n">
        <v>1995</v>
      </c>
      <c r="B66" s="18" t="n">
        <v>3</v>
      </c>
      <c r="C66" s="18" t="n">
        <v>2406.61</v>
      </c>
      <c r="D66" s="18" t="s">
        <v>73</v>
      </c>
      <c r="E66" s="18" t="n">
        <v>2417</v>
      </c>
      <c r="F66" s="18" t="s">
        <v>73</v>
      </c>
      <c r="G66" s="18" t="n">
        <v>2358.61</v>
      </c>
      <c r="H66" s="18" t="n">
        <v>2406.61</v>
      </c>
      <c r="I66" s="18" t="n">
        <v>2369</v>
      </c>
      <c r="J66" s="18" t="n">
        <v>2417</v>
      </c>
      <c r="K66" s="18" t="n">
        <v>2406.43</v>
      </c>
      <c r="L66" s="18" t="n">
        <v>2407.74</v>
      </c>
      <c r="M66" s="18" t="n">
        <v>2417</v>
      </c>
      <c r="N66" s="18" t="n">
        <v>2418</v>
      </c>
    </row>
    <row r="67" customFormat="false" ht="15" hidden="false" customHeight="false" outlineLevel="0" collapsed="false">
      <c r="A67" s="2" t="n">
        <v>1995</v>
      </c>
      <c r="B67" s="18" t="n">
        <v>4</v>
      </c>
      <c r="C67" s="18" t="n">
        <v>2423</v>
      </c>
      <c r="D67" s="18" t="s">
        <v>73</v>
      </c>
      <c r="E67" s="18" t="n">
        <v>2437</v>
      </c>
      <c r="F67" s="18" t="s">
        <v>73</v>
      </c>
      <c r="G67" s="18" t="n">
        <v>2374.75</v>
      </c>
      <c r="H67" s="18" t="n">
        <v>2423</v>
      </c>
      <c r="I67" s="18" t="n">
        <v>2388</v>
      </c>
      <c r="J67" s="18" t="n">
        <v>2437</v>
      </c>
      <c r="K67" s="18" t="n">
        <v>2431.58</v>
      </c>
      <c r="L67" s="18" t="n">
        <v>2432.74</v>
      </c>
      <c r="M67" s="18" t="n">
        <v>2454</v>
      </c>
      <c r="N67" s="18" t="n">
        <v>2455</v>
      </c>
    </row>
    <row r="68" customFormat="false" ht="15" hidden="false" customHeight="false" outlineLevel="0" collapsed="false">
      <c r="A68" s="2" t="n">
        <v>1995</v>
      </c>
      <c r="B68" s="18" t="n">
        <v>5</v>
      </c>
      <c r="C68" s="18" t="n">
        <v>2455.33</v>
      </c>
      <c r="D68" s="18" t="s">
        <v>73</v>
      </c>
      <c r="E68" s="18" t="n">
        <v>2459</v>
      </c>
      <c r="F68" s="18" t="s">
        <v>73</v>
      </c>
      <c r="G68" s="18" t="n">
        <v>2406.33</v>
      </c>
      <c r="H68" s="18" t="n">
        <v>2455.33</v>
      </c>
      <c r="I68" s="18" t="n">
        <v>2410</v>
      </c>
      <c r="J68" s="18" t="n">
        <v>2459</v>
      </c>
      <c r="K68" s="18" t="n">
        <v>2456.71</v>
      </c>
      <c r="L68" s="18" t="n">
        <v>2457.67</v>
      </c>
      <c r="M68" s="18" t="n">
        <v>2473</v>
      </c>
      <c r="N68" s="18" t="n">
        <v>2474</v>
      </c>
    </row>
    <row r="69" customFormat="false" ht="15" hidden="false" customHeight="false" outlineLevel="0" collapsed="false">
      <c r="A69" s="2" t="n">
        <v>1995</v>
      </c>
      <c r="B69" s="18" t="n">
        <v>6</v>
      </c>
      <c r="C69" s="18" t="n">
        <v>2504.23</v>
      </c>
      <c r="D69" s="18" t="s">
        <v>73</v>
      </c>
      <c r="E69" s="18" t="n">
        <v>2559</v>
      </c>
      <c r="F69" s="18" t="s">
        <v>73</v>
      </c>
      <c r="G69" s="18" t="n">
        <v>2454.32</v>
      </c>
      <c r="H69" s="18" t="n">
        <v>2504.23</v>
      </c>
      <c r="I69" s="18" t="n">
        <v>2508</v>
      </c>
      <c r="J69" s="18" t="n">
        <v>2559</v>
      </c>
      <c r="K69" s="18" t="n">
        <v>2528.55</v>
      </c>
      <c r="L69" s="18" t="n">
        <v>2530.59</v>
      </c>
      <c r="M69" s="18" t="n">
        <v>2586</v>
      </c>
      <c r="N69" s="18" t="n">
        <v>2586</v>
      </c>
    </row>
    <row r="70" customFormat="false" ht="15" hidden="false" customHeight="false" outlineLevel="0" collapsed="false">
      <c r="A70" s="2" t="n">
        <v>1995</v>
      </c>
      <c r="B70" s="18" t="n">
        <v>7</v>
      </c>
      <c r="C70" s="18" t="n">
        <v>2576.24</v>
      </c>
      <c r="D70" s="18" t="s">
        <v>73</v>
      </c>
      <c r="E70" s="18" t="n">
        <v>2578</v>
      </c>
      <c r="F70" s="18" t="s">
        <v>73</v>
      </c>
      <c r="G70" s="18" t="n">
        <v>2524.57</v>
      </c>
      <c r="H70" s="18" t="n">
        <v>2576.1</v>
      </c>
      <c r="I70" s="18" t="n">
        <v>2526</v>
      </c>
      <c r="J70" s="18" t="n">
        <v>2578</v>
      </c>
      <c r="K70" s="18" t="n">
        <v>2573.9</v>
      </c>
      <c r="L70" s="18" t="n">
        <v>2575.33</v>
      </c>
      <c r="M70" s="18" t="n">
        <v>2577</v>
      </c>
      <c r="N70" s="18" t="n">
        <v>2579</v>
      </c>
    </row>
    <row r="71" customFormat="false" ht="15" hidden="false" customHeight="false" outlineLevel="0" collapsed="false">
      <c r="A71" s="2" t="n">
        <v>1995</v>
      </c>
      <c r="B71" s="18" t="n">
        <v>8</v>
      </c>
      <c r="C71" s="18" t="n">
        <v>2584.48</v>
      </c>
      <c r="D71" s="18" t="s">
        <v>73</v>
      </c>
      <c r="E71" s="18" t="n">
        <v>2609</v>
      </c>
      <c r="F71" s="18" t="s">
        <v>73</v>
      </c>
      <c r="G71" s="18" t="n">
        <v>2532.3</v>
      </c>
      <c r="H71" s="18" t="n">
        <v>2584.48</v>
      </c>
      <c r="I71" s="18" t="n">
        <v>2556</v>
      </c>
      <c r="J71" s="18" t="n">
        <v>2609</v>
      </c>
      <c r="K71" s="18" t="n">
        <v>2592.18</v>
      </c>
      <c r="L71" s="18" t="n">
        <v>2593.41</v>
      </c>
      <c r="M71" s="18" t="n">
        <v>2616</v>
      </c>
      <c r="N71" s="18" t="n">
        <v>2616</v>
      </c>
    </row>
    <row r="72" customFormat="false" ht="15" hidden="false" customHeight="false" outlineLevel="0" collapsed="false">
      <c r="A72" s="2" t="n">
        <v>1995</v>
      </c>
      <c r="B72" s="18" t="n">
        <v>9</v>
      </c>
      <c r="C72" s="18" t="n">
        <v>2624.48</v>
      </c>
      <c r="D72" s="18" t="s">
        <v>73</v>
      </c>
      <c r="E72" s="18" t="n">
        <v>2630</v>
      </c>
      <c r="F72" s="18" t="s">
        <v>73</v>
      </c>
      <c r="G72" s="18" t="n">
        <v>2571.95</v>
      </c>
      <c r="H72" s="18" t="n">
        <v>2624.48</v>
      </c>
      <c r="I72" s="18" t="n">
        <v>2577</v>
      </c>
      <c r="J72" s="18" t="n">
        <v>2630</v>
      </c>
      <c r="K72" s="18" t="n">
        <v>2631.14</v>
      </c>
      <c r="L72" s="18" t="n">
        <v>2632.05</v>
      </c>
      <c r="M72" s="18" t="n">
        <v>2656</v>
      </c>
      <c r="N72" s="18" t="n">
        <v>2657</v>
      </c>
    </row>
    <row r="73" customFormat="false" ht="15" hidden="false" customHeight="false" outlineLevel="0" collapsed="false">
      <c r="A73" s="2" t="n">
        <v>1995</v>
      </c>
      <c r="B73" s="18" t="n">
        <v>10</v>
      </c>
      <c r="C73" s="18" t="n">
        <v>2664.86</v>
      </c>
      <c r="D73" s="18" t="s">
        <v>73</v>
      </c>
      <c r="E73" s="18" t="n">
        <v>2681</v>
      </c>
      <c r="F73" s="18" t="s">
        <v>73</v>
      </c>
      <c r="G73" s="18" t="n">
        <v>2611.77</v>
      </c>
      <c r="H73" s="18" t="n">
        <v>2664.86</v>
      </c>
      <c r="I73" s="18" t="n">
        <v>2627</v>
      </c>
      <c r="J73" s="18" t="n">
        <v>2681</v>
      </c>
      <c r="K73" s="18" t="n">
        <v>2676.62</v>
      </c>
      <c r="L73" s="18" t="n">
        <v>2677.67</v>
      </c>
      <c r="M73" s="18" t="n">
        <v>2735</v>
      </c>
      <c r="N73" s="18" t="n">
        <v>2739</v>
      </c>
    </row>
    <row r="74" customFormat="false" ht="15" hidden="false" customHeight="false" outlineLevel="0" collapsed="false">
      <c r="A74" s="2" t="n">
        <v>1995</v>
      </c>
      <c r="B74" s="18" t="n">
        <v>11</v>
      </c>
      <c r="C74" s="18" t="n">
        <v>2771.73</v>
      </c>
      <c r="D74" s="18" t="s">
        <v>73</v>
      </c>
      <c r="E74" s="18" t="n">
        <v>2880</v>
      </c>
      <c r="F74" s="18" t="s">
        <v>73</v>
      </c>
      <c r="G74" s="18" t="n">
        <v>2716.09</v>
      </c>
      <c r="H74" s="18" t="n">
        <v>2771.73</v>
      </c>
      <c r="I74" s="18" t="n">
        <v>2822</v>
      </c>
      <c r="J74" s="18" t="n">
        <v>2880</v>
      </c>
      <c r="K74" s="18" t="n">
        <v>2820.4</v>
      </c>
      <c r="L74" s="18" t="n">
        <v>2822.35</v>
      </c>
      <c r="M74" s="18" t="n">
        <v>2896</v>
      </c>
      <c r="N74" s="18" t="n">
        <v>2896</v>
      </c>
    </row>
    <row r="75" customFormat="false" ht="15" hidden="false" customHeight="false" outlineLevel="0" collapsed="false">
      <c r="A75" s="2" t="n">
        <v>1995</v>
      </c>
      <c r="B75" s="18" t="n">
        <v>12</v>
      </c>
      <c r="C75" s="18" t="n">
        <v>2906.43</v>
      </c>
      <c r="D75" s="18" t="s">
        <v>73</v>
      </c>
      <c r="E75" s="18" t="n">
        <v>2922</v>
      </c>
      <c r="F75" s="18" t="s">
        <v>73</v>
      </c>
      <c r="G75" s="18" t="n">
        <v>2848.43</v>
      </c>
      <c r="H75" s="18" t="n">
        <v>2906.43</v>
      </c>
      <c r="I75" s="18" t="n">
        <v>2864</v>
      </c>
      <c r="J75" s="18" t="n">
        <v>2922</v>
      </c>
      <c r="K75" s="18" t="n">
        <v>2914.53</v>
      </c>
      <c r="L75" s="18" t="n">
        <v>2915.05</v>
      </c>
      <c r="M75" s="18" t="n">
        <v>2922</v>
      </c>
      <c r="N75" s="18" t="n">
        <v>2925</v>
      </c>
    </row>
    <row r="76" customFormat="false" ht="15" hidden="false" customHeight="false" outlineLevel="0" collapsed="false">
      <c r="A76" s="2" t="n">
        <v>1996</v>
      </c>
      <c r="B76" s="18" t="n">
        <v>1</v>
      </c>
      <c r="C76" s="18" t="n">
        <v>2923.78</v>
      </c>
      <c r="D76" s="18" t="s">
        <v>73</v>
      </c>
      <c r="E76" s="18" t="n">
        <v>2919</v>
      </c>
      <c r="F76" s="18" t="s">
        <v>73</v>
      </c>
      <c r="G76" s="18" t="n">
        <v>2865.35</v>
      </c>
      <c r="H76" s="18" t="n">
        <v>2923.78</v>
      </c>
      <c r="I76" s="18" t="n">
        <v>2861</v>
      </c>
      <c r="J76" s="18" t="n">
        <v>2919</v>
      </c>
      <c r="K76" s="18" t="n">
        <v>2922.91</v>
      </c>
      <c r="L76" s="18" t="n">
        <v>2924.73</v>
      </c>
      <c r="M76" s="18" t="n">
        <v>2958</v>
      </c>
      <c r="N76" s="18" t="n">
        <v>2962</v>
      </c>
    </row>
    <row r="77" customFormat="false" ht="15" hidden="false" customHeight="false" outlineLevel="0" collapsed="false">
      <c r="A77" s="2" t="n">
        <v>1996</v>
      </c>
      <c r="B77" s="18" t="n">
        <v>2</v>
      </c>
      <c r="C77" s="18" t="n">
        <v>2942.1</v>
      </c>
      <c r="D77" s="18" t="s">
        <v>73</v>
      </c>
      <c r="E77" s="18" t="n">
        <v>2949</v>
      </c>
      <c r="F77" s="18" t="s">
        <v>73</v>
      </c>
      <c r="G77" s="18" t="n">
        <v>2883.19</v>
      </c>
      <c r="H77" s="18" t="n">
        <v>2942.1</v>
      </c>
      <c r="I77" s="18" t="n">
        <v>2890</v>
      </c>
      <c r="J77" s="18" t="n">
        <v>2949</v>
      </c>
      <c r="K77" s="18" t="n">
        <v>2949.42</v>
      </c>
      <c r="L77" s="18" t="n">
        <v>2951.11</v>
      </c>
      <c r="M77" s="18" t="n">
        <v>2978</v>
      </c>
      <c r="N77" s="18" t="n">
        <v>2980</v>
      </c>
    </row>
    <row r="78" customFormat="false" ht="15" hidden="false" customHeight="false" outlineLevel="0" collapsed="false">
      <c r="A78" s="2" t="n">
        <v>1996</v>
      </c>
      <c r="B78" s="18" t="n">
        <v>3</v>
      </c>
      <c r="C78" s="18" t="n">
        <v>3002.57</v>
      </c>
      <c r="D78" s="18" t="s">
        <v>73</v>
      </c>
      <c r="E78" s="18" t="n">
        <v>3037</v>
      </c>
      <c r="F78" s="18" t="s">
        <v>73</v>
      </c>
      <c r="G78" s="18" t="n">
        <v>2942.38</v>
      </c>
      <c r="H78" s="18" t="n">
        <v>3002.57</v>
      </c>
      <c r="I78" s="18" t="n">
        <v>2976</v>
      </c>
      <c r="J78" s="18" t="n">
        <v>3037</v>
      </c>
      <c r="K78" s="18" t="n">
        <v>3020.29</v>
      </c>
      <c r="L78" s="18" t="n">
        <v>3021.24</v>
      </c>
      <c r="M78" s="18" t="n">
        <v>3053</v>
      </c>
      <c r="N78" s="18" t="n">
        <v>3053</v>
      </c>
    </row>
    <row r="79" customFormat="false" ht="15" hidden="false" customHeight="false" outlineLevel="0" collapsed="false">
      <c r="A79" s="2" t="n">
        <v>1996</v>
      </c>
      <c r="B79" s="18" t="n">
        <v>4</v>
      </c>
      <c r="C79" s="18" t="n">
        <v>3063.55</v>
      </c>
      <c r="D79" s="18" t="s">
        <v>73</v>
      </c>
      <c r="E79" s="18" t="n">
        <v>3074</v>
      </c>
      <c r="F79" s="18" t="s">
        <v>73</v>
      </c>
      <c r="G79" s="18" t="n">
        <v>3002.32</v>
      </c>
      <c r="H79" s="18" t="n">
        <v>3063.55</v>
      </c>
      <c r="I79" s="18" t="n">
        <v>3013</v>
      </c>
      <c r="J79" s="18" t="n">
        <v>3074</v>
      </c>
      <c r="K79" s="18" t="n">
        <v>3069.95</v>
      </c>
      <c r="L79" s="18" t="n">
        <v>3070.95</v>
      </c>
      <c r="M79" s="18" t="n">
        <v>3087</v>
      </c>
      <c r="N79" s="18" t="n">
        <v>3088</v>
      </c>
    </row>
    <row r="80" customFormat="false" ht="15" hidden="false" customHeight="false" outlineLevel="0" collapsed="false">
      <c r="A80" s="2" t="n">
        <v>1996</v>
      </c>
      <c r="B80" s="18" t="n">
        <v>5</v>
      </c>
      <c r="C80" s="18" t="n">
        <v>3103.57</v>
      </c>
      <c r="D80" s="18" t="s">
        <v>73</v>
      </c>
      <c r="E80" s="18" t="n">
        <v>3124</v>
      </c>
      <c r="F80" s="18" t="s">
        <v>73</v>
      </c>
      <c r="G80" s="18" t="n">
        <v>3041.7</v>
      </c>
      <c r="H80" s="18" t="n">
        <v>3103.57</v>
      </c>
      <c r="I80" s="18" t="n">
        <v>3062</v>
      </c>
      <c r="J80" s="18" t="n">
        <v>3124</v>
      </c>
      <c r="K80" s="18" t="n">
        <v>3115.14</v>
      </c>
      <c r="L80" s="18" t="n">
        <v>3115.67</v>
      </c>
      <c r="M80" s="18" t="n">
        <v>3126</v>
      </c>
      <c r="N80" s="18" t="n">
        <v>3128</v>
      </c>
    </row>
    <row r="81" customFormat="false" ht="15" hidden="false" customHeight="false" outlineLevel="0" collapsed="false">
      <c r="A81" s="2" t="n">
        <v>1996</v>
      </c>
      <c r="B81" s="18" t="n">
        <v>6</v>
      </c>
      <c r="C81" s="18" t="n">
        <v>3127.25</v>
      </c>
      <c r="D81" s="18" t="s">
        <v>73</v>
      </c>
      <c r="E81" s="18" t="n">
        <v>3129</v>
      </c>
      <c r="F81" s="18" t="s">
        <v>73</v>
      </c>
      <c r="G81" s="18" t="n">
        <v>3064.5</v>
      </c>
      <c r="H81" s="18" t="n">
        <v>3127.25</v>
      </c>
      <c r="I81" s="18" t="n">
        <v>3066</v>
      </c>
      <c r="J81" s="18" t="n">
        <v>3129</v>
      </c>
      <c r="K81" s="18" t="n">
        <v>3135.3</v>
      </c>
      <c r="L81" s="18" t="n">
        <v>3136.5</v>
      </c>
      <c r="M81" s="18" t="n">
        <v>3174</v>
      </c>
      <c r="N81" s="18" t="n">
        <v>3174</v>
      </c>
    </row>
    <row r="82" customFormat="false" ht="15" hidden="false" customHeight="false" outlineLevel="0" collapsed="false">
      <c r="A82" s="2" t="n">
        <v>1996</v>
      </c>
      <c r="B82" s="18" t="n">
        <v>7</v>
      </c>
      <c r="C82" s="18" t="n">
        <v>3167.87</v>
      </c>
      <c r="D82" s="18" t="s">
        <v>73</v>
      </c>
      <c r="E82" s="18" t="n">
        <v>3197</v>
      </c>
      <c r="F82" s="18" t="s">
        <v>73</v>
      </c>
      <c r="G82" s="18" t="n">
        <v>3104.52</v>
      </c>
      <c r="H82" s="18" t="n">
        <v>3167.87</v>
      </c>
      <c r="I82" s="18" t="n">
        <v>3133</v>
      </c>
      <c r="J82" s="18" t="n">
        <v>3197</v>
      </c>
      <c r="K82" s="18" t="n">
        <v>3176.26</v>
      </c>
      <c r="L82" s="18" t="n">
        <v>3177.3</v>
      </c>
      <c r="M82" s="18" t="n">
        <v>3217</v>
      </c>
      <c r="N82" s="18" t="n">
        <v>3217</v>
      </c>
    </row>
    <row r="83" customFormat="false" ht="15" hidden="false" customHeight="false" outlineLevel="0" collapsed="false">
      <c r="A83" s="2" t="n">
        <v>1996</v>
      </c>
      <c r="B83" s="18" t="n">
        <v>8</v>
      </c>
      <c r="C83" s="18" t="n">
        <v>3251.09</v>
      </c>
      <c r="D83" s="18" t="s">
        <v>73</v>
      </c>
      <c r="E83" s="18" t="n">
        <v>3292</v>
      </c>
      <c r="F83" s="18" t="s">
        <v>73</v>
      </c>
      <c r="G83" s="18" t="n">
        <v>3185.95</v>
      </c>
      <c r="H83" s="18" t="n">
        <v>3251.09</v>
      </c>
      <c r="I83" s="18" t="n">
        <v>3226</v>
      </c>
      <c r="J83" s="18" t="n">
        <v>3292</v>
      </c>
      <c r="K83" s="18" t="n">
        <v>3266.41</v>
      </c>
      <c r="L83" s="18" t="n">
        <v>3268.86</v>
      </c>
      <c r="M83" s="18" t="n">
        <v>3277</v>
      </c>
      <c r="N83" s="18" t="n">
        <v>3279</v>
      </c>
    </row>
    <row r="84" customFormat="false" ht="15" hidden="false" customHeight="false" outlineLevel="0" collapsed="false">
      <c r="A84" s="2" t="n">
        <v>1996</v>
      </c>
      <c r="B84" s="18" t="n">
        <v>9</v>
      </c>
      <c r="C84" s="18" t="n">
        <v>3292.67</v>
      </c>
      <c r="D84" s="18" t="s">
        <v>73</v>
      </c>
      <c r="E84" s="18" t="n">
        <v>3291</v>
      </c>
      <c r="F84" s="18" t="s">
        <v>73</v>
      </c>
      <c r="G84" s="18" t="n">
        <v>3226.67</v>
      </c>
      <c r="H84" s="18" t="n">
        <v>3292.67</v>
      </c>
      <c r="I84" s="18" t="n">
        <v>3225</v>
      </c>
      <c r="J84" s="18" t="n">
        <v>3291</v>
      </c>
      <c r="K84" s="18" t="n">
        <v>3292.76</v>
      </c>
      <c r="L84" s="18" t="n">
        <v>3294.48</v>
      </c>
      <c r="M84" s="18" t="n">
        <v>3306</v>
      </c>
      <c r="N84" s="18" t="n">
        <v>3308</v>
      </c>
    </row>
    <row r="85" customFormat="false" ht="15" hidden="false" customHeight="false" outlineLevel="0" collapsed="false">
      <c r="A85" s="2" t="n">
        <v>1996</v>
      </c>
      <c r="B85" s="18" t="n">
        <v>10</v>
      </c>
      <c r="C85" s="18" t="n">
        <v>3314.22</v>
      </c>
      <c r="D85" s="18" t="s">
        <v>73</v>
      </c>
      <c r="E85" s="18" t="n">
        <v>3332</v>
      </c>
      <c r="F85" s="18" t="s">
        <v>73</v>
      </c>
      <c r="G85" s="18" t="n">
        <v>3247.83</v>
      </c>
      <c r="H85" s="18" t="n">
        <v>3314.22</v>
      </c>
      <c r="I85" s="18" t="n">
        <v>3265</v>
      </c>
      <c r="J85" s="18" t="n">
        <v>3332</v>
      </c>
      <c r="K85" s="18" t="n">
        <v>3320.59</v>
      </c>
      <c r="L85" s="18" t="n">
        <v>3322.77</v>
      </c>
      <c r="M85" s="18" t="n">
        <v>3331</v>
      </c>
      <c r="N85" s="18" t="n">
        <v>3333</v>
      </c>
    </row>
    <row r="86" customFormat="false" ht="15" hidden="false" customHeight="false" outlineLevel="0" collapsed="false">
      <c r="A86" s="2" t="n">
        <v>1996</v>
      </c>
      <c r="B86" s="18" t="n">
        <v>11</v>
      </c>
      <c r="C86" s="18" t="n">
        <v>3362</v>
      </c>
      <c r="D86" s="18" t="s">
        <v>73</v>
      </c>
      <c r="E86" s="18" t="n">
        <v>3398</v>
      </c>
      <c r="F86" s="18" t="s">
        <v>73</v>
      </c>
      <c r="G86" s="18" t="n">
        <v>3294.52</v>
      </c>
      <c r="H86" s="18" t="n">
        <v>3362</v>
      </c>
      <c r="I86" s="18" t="n">
        <v>3330</v>
      </c>
      <c r="J86" s="18" t="n">
        <v>3398</v>
      </c>
      <c r="K86" s="18" t="n">
        <v>3400.43</v>
      </c>
      <c r="L86" s="18" t="n">
        <v>3401.95</v>
      </c>
      <c r="M86" s="18" t="n">
        <v>3510</v>
      </c>
      <c r="N86" s="18" t="n">
        <v>3511</v>
      </c>
    </row>
    <row r="87" customFormat="false" ht="15" hidden="false" customHeight="false" outlineLevel="0" collapsed="false">
      <c r="A87" s="2" t="n">
        <v>1996</v>
      </c>
      <c r="B87" s="18" t="n">
        <v>12</v>
      </c>
      <c r="C87" s="18" t="n">
        <v>3567.91</v>
      </c>
      <c r="D87" s="18" t="s">
        <v>73</v>
      </c>
      <c r="E87" s="18" t="n">
        <v>3627</v>
      </c>
      <c r="F87" s="18" t="s">
        <v>73</v>
      </c>
      <c r="G87" s="18" t="n">
        <v>3496.5</v>
      </c>
      <c r="H87" s="18" t="n">
        <v>3567.91</v>
      </c>
      <c r="I87" s="18" t="n">
        <v>3554</v>
      </c>
      <c r="J87" s="18" t="n">
        <v>3627</v>
      </c>
      <c r="K87" s="18" t="n">
        <v>3595.65</v>
      </c>
      <c r="L87" s="18" t="n">
        <v>3596.75</v>
      </c>
      <c r="M87" s="18" t="n">
        <v>3634</v>
      </c>
      <c r="N87" s="18" t="n">
        <v>3635</v>
      </c>
    </row>
    <row r="88" customFormat="false" ht="15" hidden="false" customHeight="false" outlineLevel="0" collapsed="false">
      <c r="A88" s="2" t="n">
        <v>1997</v>
      </c>
      <c r="B88" s="18" t="n">
        <v>1</v>
      </c>
      <c r="C88" s="18" t="n">
        <v>3658.3</v>
      </c>
      <c r="D88" s="18" t="s">
        <v>73</v>
      </c>
      <c r="E88" s="18" t="n">
        <v>3685</v>
      </c>
      <c r="F88" s="18" t="s">
        <v>73</v>
      </c>
      <c r="G88" s="18" t="n">
        <v>3585.09</v>
      </c>
      <c r="H88" s="18" t="n">
        <v>3658.3</v>
      </c>
      <c r="I88" s="18" t="n">
        <v>3611</v>
      </c>
      <c r="J88" s="18" t="n">
        <v>3685</v>
      </c>
      <c r="K88" s="18" t="n">
        <v>3674.55</v>
      </c>
      <c r="L88" s="18" t="n">
        <v>3675.18</v>
      </c>
      <c r="M88" s="18" t="n">
        <v>3704</v>
      </c>
      <c r="N88" s="18" t="n">
        <v>3704</v>
      </c>
    </row>
    <row r="89" customFormat="false" ht="15" hidden="false" customHeight="false" outlineLevel="0" collapsed="false">
      <c r="A89" s="2" t="n">
        <v>1997</v>
      </c>
      <c r="B89" s="18" t="n">
        <v>2</v>
      </c>
      <c r="C89" s="18" t="n">
        <v>3722.25</v>
      </c>
      <c r="D89" s="18" t="s">
        <v>73</v>
      </c>
      <c r="E89" s="18" t="n">
        <v>3741</v>
      </c>
      <c r="F89" s="18" t="s">
        <v>73</v>
      </c>
      <c r="G89" s="18" t="n">
        <v>3647.75</v>
      </c>
      <c r="H89" s="18" t="n">
        <v>3722.25</v>
      </c>
      <c r="I89" s="18" t="n">
        <v>3666</v>
      </c>
      <c r="J89" s="18" t="n">
        <v>3741</v>
      </c>
      <c r="K89" s="18" t="n">
        <v>3737.35</v>
      </c>
      <c r="L89" s="18" t="n">
        <v>3738.53</v>
      </c>
      <c r="M89" s="18" t="n">
        <v>3761</v>
      </c>
      <c r="N89" s="18" t="n">
        <v>3763</v>
      </c>
    </row>
    <row r="90" customFormat="false" ht="15" hidden="false" customHeight="false" outlineLevel="0" collapsed="false">
      <c r="A90" s="2" t="n">
        <v>1997</v>
      </c>
      <c r="B90" s="18" t="n">
        <v>3</v>
      </c>
      <c r="C90" s="18" t="n">
        <v>3775.67</v>
      </c>
      <c r="D90" s="18" t="s">
        <v>73</v>
      </c>
      <c r="E90" s="18" t="n">
        <v>3794</v>
      </c>
      <c r="F90" s="18" t="s">
        <v>73</v>
      </c>
      <c r="G90" s="18" t="n">
        <v>3700.14</v>
      </c>
      <c r="H90" s="18" t="n">
        <v>3775.67</v>
      </c>
      <c r="I90" s="18" t="n">
        <v>3718</v>
      </c>
      <c r="J90" s="18" t="n">
        <v>3794</v>
      </c>
      <c r="K90" s="18" t="n">
        <v>3783.65</v>
      </c>
      <c r="L90" s="18" t="n">
        <v>3784.35</v>
      </c>
      <c r="M90" s="18" t="n">
        <v>3800</v>
      </c>
      <c r="N90" s="18" t="n">
        <v>3801</v>
      </c>
    </row>
    <row r="91" customFormat="false" ht="15" hidden="false" customHeight="false" outlineLevel="0" collapsed="false">
      <c r="A91" s="2" t="n">
        <v>1997</v>
      </c>
      <c r="B91" s="18" t="n">
        <v>4</v>
      </c>
      <c r="C91" s="18" t="n">
        <v>3817.68</v>
      </c>
      <c r="D91" s="18" t="s">
        <v>73</v>
      </c>
      <c r="E91" s="18" t="n">
        <v>3856</v>
      </c>
      <c r="F91" s="18" t="s">
        <v>73</v>
      </c>
      <c r="G91" s="18" t="n">
        <v>3741.32</v>
      </c>
      <c r="H91" s="18" t="n">
        <v>3817.68</v>
      </c>
      <c r="I91" s="18" t="n">
        <v>3779</v>
      </c>
      <c r="J91" s="18" t="n">
        <v>3856</v>
      </c>
      <c r="K91" s="18" t="n">
        <v>3831.73</v>
      </c>
      <c r="L91" s="18" t="n">
        <v>3832.64</v>
      </c>
      <c r="M91" s="18" t="n">
        <v>3870</v>
      </c>
      <c r="N91" s="18" t="n">
        <v>3871</v>
      </c>
    </row>
    <row r="92" customFormat="false" ht="15" hidden="false" customHeight="false" outlineLevel="0" collapsed="false">
      <c r="A92" s="2" t="n">
        <v>1997</v>
      </c>
      <c r="B92" s="18" t="n">
        <v>5</v>
      </c>
      <c r="C92" s="18" t="n">
        <v>3883.27</v>
      </c>
      <c r="D92" s="18" t="s">
        <v>73</v>
      </c>
      <c r="E92" s="18" t="n">
        <v>3901</v>
      </c>
      <c r="F92" s="18" t="s">
        <v>73</v>
      </c>
      <c r="G92" s="18" t="n">
        <v>3805.59</v>
      </c>
      <c r="H92" s="18" t="n">
        <v>3883.27</v>
      </c>
      <c r="I92" s="18" t="n">
        <v>3823</v>
      </c>
      <c r="J92" s="18" t="n">
        <v>3901</v>
      </c>
      <c r="K92" s="18" t="n">
        <v>3896.1</v>
      </c>
      <c r="L92" s="18" t="n">
        <v>3897.1</v>
      </c>
      <c r="M92" s="18" t="n">
        <v>3911</v>
      </c>
      <c r="N92" s="18" t="n">
        <v>3912</v>
      </c>
    </row>
    <row r="93" customFormat="false" ht="15" hidden="false" customHeight="false" outlineLevel="0" collapsed="false">
      <c r="A93" s="2" t="n">
        <v>1997</v>
      </c>
      <c r="B93" s="18" t="n">
        <v>6</v>
      </c>
      <c r="C93" s="18" t="n">
        <v>3938.1</v>
      </c>
      <c r="D93" s="18" t="s">
        <v>73</v>
      </c>
      <c r="E93" s="18" t="n">
        <v>3970</v>
      </c>
      <c r="F93" s="18" t="s">
        <v>73</v>
      </c>
      <c r="G93" s="18" t="n">
        <v>3859.57</v>
      </c>
      <c r="H93" s="18" t="n">
        <v>3938.1</v>
      </c>
      <c r="I93" s="18" t="n">
        <v>3891</v>
      </c>
      <c r="J93" s="18" t="n">
        <v>3970</v>
      </c>
      <c r="K93" s="18" t="n">
        <v>3952.14</v>
      </c>
      <c r="L93" s="18" t="n">
        <v>3953.38</v>
      </c>
      <c r="M93" s="18" t="n">
        <v>3988</v>
      </c>
      <c r="N93" s="18" t="n">
        <v>3989</v>
      </c>
    </row>
    <row r="94" customFormat="false" ht="15" hidden="false" customHeight="false" outlineLevel="0" collapsed="false">
      <c r="A94" s="2" t="n">
        <v>1997</v>
      </c>
      <c r="B94" s="18" t="n">
        <v>7</v>
      </c>
      <c r="C94" s="18" t="n">
        <v>4001.04</v>
      </c>
      <c r="D94" s="18" t="s">
        <v>73</v>
      </c>
      <c r="E94" s="18" t="n">
        <v>4036</v>
      </c>
      <c r="F94" s="18" t="s">
        <v>73</v>
      </c>
      <c r="G94" s="18" t="n">
        <v>3921.04</v>
      </c>
      <c r="H94" s="18" t="n">
        <v>4001.04</v>
      </c>
      <c r="I94" s="18" t="n">
        <v>3955</v>
      </c>
      <c r="J94" s="18" t="n">
        <v>4036</v>
      </c>
      <c r="K94" s="18" t="n">
        <v>4016.26</v>
      </c>
      <c r="L94" s="18" t="n">
        <v>4017.04</v>
      </c>
      <c r="M94" s="18" t="n">
        <v>4044</v>
      </c>
      <c r="N94" s="18" t="n">
        <v>4045</v>
      </c>
    </row>
    <row r="95" customFormat="false" ht="15" hidden="false" customHeight="false" outlineLevel="0" collapsed="false">
      <c r="A95" s="2" t="n">
        <v>1997</v>
      </c>
      <c r="B95" s="18" t="n">
        <v>8</v>
      </c>
      <c r="C95" s="18" t="n">
        <v>4073.14</v>
      </c>
      <c r="D95" s="18" t="s">
        <v>73</v>
      </c>
      <c r="E95" s="18" t="n">
        <v>4094</v>
      </c>
      <c r="F95" s="18" t="s">
        <v>73</v>
      </c>
      <c r="G95" s="18" t="n">
        <v>3991.67</v>
      </c>
      <c r="H95" s="18" t="n">
        <v>4073.14</v>
      </c>
      <c r="I95" s="18" t="n">
        <v>4012</v>
      </c>
      <c r="J95" s="18" t="n">
        <v>4094</v>
      </c>
      <c r="K95" s="18" t="n">
        <v>4087.14</v>
      </c>
      <c r="L95" s="18" t="n">
        <v>4088.14</v>
      </c>
      <c r="M95" s="18" t="n">
        <v>4107</v>
      </c>
      <c r="N95" s="18" t="n">
        <v>4108</v>
      </c>
    </row>
    <row r="96" customFormat="false" ht="15" hidden="false" customHeight="false" outlineLevel="0" collapsed="false">
      <c r="A96" s="2" t="n">
        <v>1997</v>
      </c>
      <c r="B96" s="18" t="n">
        <v>9</v>
      </c>
      <c r="C96" s="18" t="n">
        <v>4122.45</v>
      </c>
      <c r="D96" s="18" t="s">
        <v>73</v>
      </c>
      <c r="E96" s="18" t="n">
        <v>4137</v>
      </c>
      <c r="F96" s="18" t="s">
        <v>73</v>
      </c>
      <c r="G96" s="18" t="n">
        <v>4039.91</v>
      </c>
      <c r="H96" s="18" t="n">
        <v>4122.45</v>
      </c>
      <c r="I96" s="18" t="n">
        <v>4054</v>
      </c>
      <c r="J96" s="18" t="n">
        <v>4137</v>
      </c>
      <c r="K96" s="18" t="n">
        <v>4127.95</v>
      </c>
      <c r="L96" s="18" t="n">
        <v>4128.82</v>
      </c>
      <c r="M96" s="18" t="n">
        <v>4141</v>
      </c>
      <c r="N96" s="18" t="n">
        <v>4142</v>
      </c>
    </row>
    <row r="97" customFormat="false" ht="15" hidden="false" customHeight="false" outlineLevel="0" collapsed="false">
      <c r="A97" s="2" t="n">
        <v>1997</v>
      </c>
      <c r="B97" s="18" t="n">
        <v>10</v>
      </c>
      <c r="C97" s="18" t="n">
        <v>4168.74</v>
      </c>
      <c r="D97" s="18" t="s">
        <v>73</v>
      </c>
      <c r="E97" s="18" t="n">
        <v>4212</v>
      </c>
      <c r="F97" s="18" t="s">
        <v>73</v>
      </c>
      <c r="G97" s="18" t="n">
        <v>4085.3</v>
      </c>
      <c r="H97" s="18" t="n">
        <v>4168.74</v>
      </c>
      <c r="I97" s="18" t="n">
        <v>4128</v>
      </c>
      <c r="J97" s="18" t="n">
        <v>4212</v>
      </c>
      <c r="K97" s="18" t="n">
        <v>4193.86</v>
      </c>
      <c r="L97" s="18" t="n">
        <v>4195.32</v>
      </c>
      <c r="M97" s="18" t="n">
        <v>4263</v>
      </c>
      <c r="N97" s="18" t="n">
        <v>4264</v>
      </c>
    </row>
    <row r="98" customFormat="false" ht="15" hidden="false" customHeight="false" outlineLevel="0" collapsed="false">
      <c r="A98" s="2" t="n">
        <v>1997</v>
      </c>
      <c r="B98" s="18" t="n">
        <v>11</v>
      </c>
      <c r="C98" s="18" t="n">
        <v>4262.75</v>
      </c>
      <c r="D98" s="18" t="s">
        <v>73</v>
      </c>
      <c r="E98" s="18" t="n">
        <v>4280</v>
      </c>
      <c r="F98" s="18" t="s">
        <v>73</v>
      </c>
      <c r="G98" s="18" t="n">
        <v>4177.5</v>
      </c>
      <c r="H98" s="18" t="n">
        <v>4262.75</v>
      </c>
      <c r="I98" s="18" t="n">
        <v>4194</v>
      </c>
      <c r="J98" s="18" t="n">
        <v>4280</v>
      </c>
      <c r="K98" s="18" t="n">
        <v>4279.68</v>
      </c>
      <c r="L98" s="18" t="n">
        <v>4280.95</v>
      </c>
      <c r="M98" s="18" t="n">
        <v>4328</v>
      </c>
      <c r="N98" s="18" t="n">
        <v>4329</v>
      </c>
    </row>
    <row r="99" customFormat="false" ht="15" hidden="false" customHeight="false" outlineLevel="0" collapsed="false">
      <c r="A99" s="2" t="n">
        <v>1997</v>
      </c>
      <c r="B99" s="18" t="n">
        <v>12</v>
      </c>
      <c r="C99" s="18" t="n">
        <v>4373.43</v>
      </c>
      <c r="D99" s="18" t="s">
        <v>73</v>
      </c>
      <c r="E99" s="18" t="n">
        <v>4438</v>
      </c>
      <c r="F99" s="18" t="s">
        <v>73</v>
      </c>
      <c r="G99" s="18" t="n">
        <v>4285.96</v>
      </c>
      <c r="H99" s="18" t="n">
        <v>4373.43</v>
      </c>
      <c r="I99" s="18" t="n">
        <v>4349</v>
      </c>
      <c r="J99" s="18" t="n">
        <v>4438</v>
      </c>
      <c r="K99" s="18" t="n">
        <v>4391.95</v>
      </c>
      <c r="L99" s="18" t="n">
        <v>4394.14</v>
      </c>
      <c r="M99" s="18" t="n">
        <v>4425</v>
      </c>
      <c r="N99" s="18" t="n">
        <v>4428</v>
      </c>
    </row>
    <row r="100" customFormat="false" ht="15" hidden="false" customHeight="false" outlineLevel="0" collapsed="false">
      <c r="A100" s="2" t="n">
        <v>1998</v>
      </c>
      <c r="B100" s="18" t="n">
        <v>1</v>
      </c>
      <c r="C100" s="18" t="n">
        <v>4475.27</v>
      </c>
      <c r="D100" s="18" t="s">
        <v>73</v>
      </c>
      <c r="E100" s="18" t="n">
        <v>4493</v>
      </c>
      <c r="F100" s="18"/>
      <c r="G100" s="18" t="n">
        <v>4385.59</v>
      </c>
      <c r="H100" s="18" t="n">
        <v>4475.27</v>
      </c>
      <c r="I100" s="18" t="n">
        <v>4403</v>
      </c>
      <c r="J100" s="18" t="n">
        <v>4493</v>
      </c>
      <c r="K100" s="18" t="n">
        <v>4497.05</v>
      </c>
      <c r="L100" s="18" t="n">
        <v>4498.9</v>
      </c>
      <c r="M100" s="18" t="n">
        <v>4527</v>
      </c>
      <c r="N100" s="18" t="n">
        <v>4527</v>
      </c>
    </row>
    <row r="101" customFormat="false" ht="15" hidden="false" customHeight="false" outlineLevel="0" collapsed="false">
      <c r="A101" s="2" t="n">
        <v>1998</v>
      </c>
      <c r="B101" s="18" t="n">
        <v>2</v>
      </c>
      <c r="C101" s="18" t="n">
        <v>4533.75</v>
      </c>
      <c r="D101" s="18" t="s">
        <v>73</v>
      </c>
      <c r="E101" s="18" t="n">
        <v>4540</v>
      </c>
      <c r="F101" s="18"/>
      <c r="G101" s="18" t="n">
        <v>4442.75</v>
      </c>
      <c r="H101" s="18" t="n">
        <v>4533.75</v>
      </c>
      <c r="I101" s="18" t="n">
        <v>4449</v>
      </c>
      <c r="J101" s="18" t="n">
        <v>4540</v>
      </c>
      <c r="K101" s="18" t="n">
        <v>4536.67</v>
      </c>
      <c r="L101" s="18" t="n">
        <v>4537.67</v>
      </c>
      <c r="M101" s="18" t="n">
        <v>4550</v>
      </c>
      <c r="N101" s="18" t="n">
        <v>4551</v>
      </c>
    </row>
    <row r="102" customFormat="false" ht="15" hidden="false" customHeight="false" outlineLevel="0" collapsed="false">
      <c r="A102" s="2" t="n">
        <v>1998</v>
      </c>
      <c r="B102" s="18" t="n">
        <v>3</v>
      </c>
      <c r="C102" s="18" t="n">
        <v>4599.68</v>
      </c>
      <c r="D102" s="18" t="s">
        <v>73</v>
      </c>
      <c r="E102" s="18" t="n">
        <v>4774</v>
      </c>
      <c r="F102" s="18"/>
      <c r="G102" s="18" t="n">
        <v>4507.64</v>
      </c>
      <c r="H102" s="18" t="n">
        <v>4599.68</v>
      </c>
      <c r="I102" s="18" t="n">
        <v>4679</v>
      </c>
      <c r="J102" s="18" t="n">
        <v>4774</v>
      </c>
      <c r="K102" s="18" t="n">
        <v>4659.05</v>
      </c>
      <c r="L102" s="18" t="n">
        <v>4661.59</v>
      </c>
      <c r="M102" s="18" t="n">
        <v>4886</v>
      </c>
      <c r="N102" s="18" t="n">
        <v>4887</v>
      </c>
    </row>
    <row r="103" customFormat="false" ht="15" hidden="false" customHeight="false" outlineLevel="0" collapsed="false">
      <c r="A103" s="2" t="n">
        <v>1998</v>
      </c>
      <c r="B103" s="18" t="n">
        <v>4</v>
      </c>
      <c r="C103" s="18" t="n">
        <v>4906.67</v>
      </c>
      <c r="D103" s="18" t="s">
        <v>73</v>
      </c>
      <c r="E103" s="18" t="n">
        <v>5023</v>
      </c>
      <c r="F103" s="18"/>
      <c r="G103" s="18" t="n">
        <v>4808.71</v>
      </c>
      <c r="H103" s="18" t="n">
        <v>4906.67</v>
      </c>
      <c r="I103" s="18" t="n">
        <v>4923</v>
      </c>
      <c r="J103" s="18" t="n">
        <v>5023</v>
      </c>
      <c r="K103" s="18" t="n">
        <v>4958.86</v>
      </c>
      <c r="L103" s="18" t="n">
        <v>4961.86</v>
      </c>
      <c r="M103" s="18" t="n">
        <v>5072</v>
      </c>
      <c r="N103" s="18" t="n">
        <v>5076</v>
      </c>
    </row>
    <row r="104" customFormat="false" ht="15" hidden="false" customHeight="false" outlineLevel="0" collapsed="false">
      <c r="A104" s="2" t="n">
        <v>1998</v>
      </c>
      <c r="B104" s="18" t="n">
        <v>5</v>
      </c>
      <c r="C104" s="18" t="n">
        <v>5110.5</v>
      </c>
      <c r="D104" s="18" t="s">
        <v>73</v>
      </c>
      <c r="E104" s="18" t="n">
        <v>5157</v>
      </c>
      <c r="F104" s="18"/>
      <c r="G104" s="18" t="n">
        <v>5008.5</v>
      </c>
      <c r="H104" s="18" t="n">
        <v>5110.5</v>
      </c>
      <c r="I104" s="18" t="n">
        <v>5054</v>
      </c>
      <c r="J104" s="18" t="n">
        <v>5157</v>
      </c>
      <c r="K104" s="18" t="n">
        <v>5149.3</v>
      </c>
      <c r="L104" s="18" t="n">
        <v>5152</v>
      </c>
      <c r="M104" s="18" t="n">
        <v>5223</v>
      </c>
      <c r="N104" s="18" t="n">
        <v>5227</v>
      </c>
    </row>
    <row r="105" customFormat="false" ht="15" hidden="false" customHeight="false" outlineLevel="0" collapsed="false">
      <c r="A105" s="2" t="n">
        <v>1998</v>
      </c>
      <c r="B105" s="18" t="n">
        <v>6</v>
      </c>
      <c r="C105" s="18" t="n">
        <v>5224.82</v>
      </c>
      <c r="D105" s="18" t="s">
        <v>73</v>
      </c>
      <c r="E105" s="18" t="n">
        <v>5278</v>
      </c>
      <c r="F105" s="18"/>
      <c r="G105" s="18" t="n">
        <v>5120.18</v>
      </c>
      <c r="H105" s="18" t="n">
        <v>5224.82</v>
      </c>
      <c r="I105" s="18" t="n">
        <v>5172</v>
      </c>
      <c r="J105" s="18" t="n">
        <v>5278</v>
      </c>
      <c r="K105" s="18" t="n">
        <v>5232.41</v>
      </c>
      <c r="L105" s="18" t="n">
        <v>5236.55</v>
      </c>
      <c r="M105" s="18" t="n">
        <v>5272</v>
      </c>
      <c r="N105" s="18" t="n">
        <v>5275</v>
      </c>
    </row>
    <row r="106" customFormat="false" ht="15" hidden="false" customHeight="false" outlineLevel="0" collapsed="false">
      <c r="A106" s="2" t="n">
        <v>1998</v>
      </c>
      <c r="B106" s="18" t="n">
        <v>7</v>
      </c>
      <c r="C106" s="18" t="n">
        <v>5288.43</v>
      </c>
      <c r="D106" s="18" t="s">
        <v>73</v>
      </c>
      <c r="E106" s="18" t="n">
        <v>5280</v>
      </c>
      <c r="F106" s="18"/>
      <c r="G106" s="18" t="n">
        <v>5182.43</v>
      </c>
      <c r="H106" s="18" t="n">
        <v>5288.43</v>
      </c>
      <c r="I106" s="18" t="n">
        <v>5174</v>
      </c>
      <c r="J106" s="18" t="n">
        <v>5280</v>
      </c>
      <c r="K106" s="18" t="n">
        <v>5296.65</v>
      </c>
      <c r="L106" s="18" t="n">
        <v>5300.43</v>
      </c>
      <c r="M106" s="18" t="n">
        <v>5357</v>
      </c>
      <c r="N106" s="18" t="n">
        <v>5361</v>
      </c>
    </row>
    <row r="107" customFormat="false" ht="15" hidden="false" customHeight="false" outlineLevel="0" collapsed="false">
      <c r="A107" s="2" t="n">
        <v>1998</v>
      </c>
      <c r="B107" s="18" t="n">
        <v>8</v>
      </c>
      <c r="C107" s="18" t="n">
        <v>5391.55</v>
      </c>
      <c r="D107" s="18" t="s">
        <v>73</v>
      </c>
      <c r="E107" s="18" t="n">
        <v>5494</v>
      </c>
      <c r="F107" s="18"/>
      <c r="G107" s="18" t="n">
        <v>5283.7</v>
      </c>
      <c r="H107" s="18" t="n">
        <v>5391.55</v>
      </c>
      <c r="I107" s="18" t="n">
        <v>5384</v>
      </c>
      <c r="J107" s="18" t="n">
        <v>5494</v>
      </c>
      <c r="K107" s="18" t="n">
        <v>5426.6</v>
      </c>
      <c r="L107" s="18" t="n">
        <v>5431.4</v>
      </c>
      <c r="M107" s="18" t="n">
        <v>5471</v>
      </c>
      <c r="N107" s="18" t="n">
        <v>5485</v>
      </c>
    </row>
    <row r="108" customFormat="false" ht="15" hidden="false" customHeight="false" outlineLevel="0" collapsed="false">
      <c r="A108" s="2" t="n">
        <v>1998</v>
      </c>
      <c r="B108" s="18" t="n">
        <v>9</v>
      </c>
      <c r="C108" s="18" t="n">
        <v>5723.14</v>
      </c>
      <c r="D108" s="18" t="s">
        <v>73</v>
      </c>
      <c r="E108" s="18" t="n">
        <v>6136</v>
      </c>
      <c r="F108" s="18"/>
      <c r="G108" s="18" t="n">
        <v>5608.86</v>
      </c>
      <c r="H108" s="18" t="n">
        <v>5723.14</v>
      </c>
      <c r="I108" s="18" t="n">
        <v>6013</v>
      </c>
      <c r="J108" s="18" t="n">
        <v>6136</v>
      </c>
      <c r="K108" s="18" t="n">
        <v>5877.18</v>
      </c>
      <c r="L108" s="18" t="n">
        <v>5899.36</v>
      </c>
      <c r="M108" s="18" t="n">
        <v>6211</v>
      </c>
      <c r="N108" s="18" t="n">
        <v>6255</v>
      </c>
    </row>
    <row r="109" customFormat="false" ht="15" hidden="false" customHeight="false" outlineLevel="0" collapsed="false">
      <c r="A109" s="2" t="n">
        <v>1998</v>
      </c>
      <c r="B109" s="18" t="n">
        <v>10</v>
      </c>
      <c r="C109" s="18" t="n">
        <v>6518.62</v>
      </c>
      <c r="D109" s="18" t="s">
        <v>73</v>
      </c>
      <c r="E109" s="18" t="n">
        <v>6816</v>
      </c>
      <c r="F109" s="18"/>
      <c r="G109" s="18" t="n">
        <v>6388.19</v>
      </c>
      <c r="H109" s="18" t="n">
        <v>6518.62</v>
      </c>
      <c r="I109" s="18" t="n">
        <v>6680</v>
      </c>
      <c r="J109" s="18" t="n">
        <v>6816</v>
      </c>
      <c r="K109" s="18" t="n">
        <v>6614.33</v>
      </c>
      <c r="L109" s="18" t="n">
        <v>6642.24</v>
      </c>
      <c r="M109" s="18" t="n">
        <v>6707</v>
      </c>
      <c r="N109" s="18" t="n">
        <v>6740</v>
      </c>
    </row>
    <row r="110" customFormat="false" ht="15" hidden="false" customHeight="false" outlineLevel="0" collapsed="false">
      <c r="A110" s="2" t="n">
        <v>1998</v>
      </c>
      <c r="B110" s="18" t="n">
        <v>11</v>
      </c>
      <c r="C110" s="18" t="n">
        <v>6512</v>
      </c>
      <c r="D110" s="18" t="s">
        <v>73</v>
      </c>
      <c r="E110" s="18" t="n">
        <v>6486</v>
      </c>
      <c r="F110" s="18"/>
      <c r="G110" s="18" t="n">
        <v>6381.84</v>
      </c>
      <c r="H110" s="18" t="n">
        <v>6512</v>
      </c>
      <c r="I110" s="18" t="n">
        <v>6356</v>
      </c>
      <c r="J110" s="18" t="n">
        <v>6486</v>
      </c>
      <c r="K110" s="18" t="n">
        <v>6417.21</v>
      </c>
      <c r="L110" s="18" t="n">
        <v>6442.37</v>
      </c>
      <c r="M110" s="18" t="n">
        <v>6449</v>
      </c>
      <c r="N110" s="18" t="n">
        <v>6463</v>
      </c>
    </row>
    <row r="111" customFormat="false" ht="15" hidden="false" customHeight="false" outlineLevel="0" collapsed="false">
      <c r="A111" s="2" t="n">
        <v>1998</v>
      </c>
      <c r="B111" s="18" t="n">
        <v>12</v>
      </c>
      <c r="C111" s="18" t="n">
        <v>6550.9</v>
      </c>
      <c r="D111" s="18" t="s">
        <v>73</v>
      </c>
      <c r="E111" s="18" t="n">
        <v>6521</v>
      </c>
      <c r="F111" s="18"/>
      <c r="G111" s="18" t="n">
        <v>6419.76</v>
      </c>
      <c r="H111" s="18" t="n">
        <v>6550.9</v>
      </c>
      <c r="I111" s="18" t="n">
        <v>6391</v>
      </c>
      <c r="J111" s="18" t="n">
        <v>6521</v>
      </c>
      <c r="K111" s="18" t="n">
        <v>6575.38</v>
      </c>
      <c r="L111" s="18" t="n">
        <v>6592.9</v>
      </c>
      <c r="M111" s="18" t="n">
        <v>6765</v>
      </c>
      <c r="N111" s="18" t="n">
        <v>6825</v>
      </c>
    </row>
    <row r="112" customFormat="false" ht="15" hidden="false" customHeight="false" outlineLevel="0" collapsed="false">
      <c r="A112" s="2" t="n">
        <v>1999</v>
      </c>
      <c r="B112" s="18" t="n">
        <v>1</v>
      </c>
      <c r="C112" s="18" t="n">
        <v>7009.25</v>
      </c>
      <c r="D112" s="18" t="s">
        <v>73</v>
      </c>
      <c r="E112" s="18" t="n">
        <v>7119</v>
      </c>
      <c r="F112" s="18"/>
      <c r="G112" s="18" t="n">
        <v>6869.11</v>
      </c>
      <c r="H112" s="18" t="n">
        <v>7009.25</v>
      </c>
      <c r="I112" s="18" t="n">
        <v>6977</v>
      </c>
      <c r="J112" s="18" t="n">
        <v>7119</v>
      </c>
      <c r="K112" s="18" t="n">
        <v>7112.45</v>
      </c>
      <c r="L112" s="18" t="n">
        <v>7133.1</v>
      </c>
      <c r="M112" s="18" t="n">
        <v>7245</v>
      </c>
      <c r="N112" s="18" t="n">
        <v>7260</v>
      </c>
    </row>
    <row r="113" customFormat="false" ht="15" hidden="false" customHeight="false" outlineLevel="0" collapsed="false">
      <c r="A113" s="2" t="n">
        <v>1999</v>
      </c>
      <c r="B113" s="18" t="n">
        <v>2</v>
      </c>
      <c r="C113" s="18" t="n">
        <v>7399.24</v>
      </c>
      <c r="D113" s="18" t="s">
        <v>73</v>
      </c>
      <c r="E113" s="18" t="n">
        <v>7669</v>
      </c>
      <c r="F113" s="18"/>
      <c r="G113" s="18" t="n">
        <v>7251.35</v>
      </c>
      <c r="H113" s="18" t="n">
        <v>7399.24</v>
      </c>
      <c r="I113" s="18" t="n">
        <v>7516</v>
      </c>
      <c r="J113" s="18" t="n">
        <v>7669</v>
      </c>
      <c r="K113" s="18" t="n">
        <v>7759.35</v>
      </c>
      <c r="L113" s="18" t="n">
        <v>7807.29</v>
      </c>
      <c r="M113" s="18" t="n">
        <v>9252</v>
      </c>
      <c r="N113" s="18" t="n">
        <v>9349</v>
      </c>
    </row>
    <row r="114" customFormat="false" ht="15" hidden="false" customHeight="false" outlineLevel="0" collapsed="false">
      <c r="A114" s="2" t="n">
        <v>1999</v>
      </c>
      <c r="B114" s="18" t="n">
        <v>3</v>
      </c>
      <c r="C114" s="18" t="n">
        <v>10493.57</v>
      </c>
      <c r="D114" s="18" t="s">
        <v>73</v>
      </c>
      <c r="E114" s="18" t="n">
        <v>11049</v>
      </c>
      <c r="F114" s="18"/>
      <c r="G114" s="18" t="n">
        <v>10283.65</v>
      </c>
      <c r="H114" s="18" t="n">
        <v>10493.57</v>
      </c>
      <c r="I114" s="18" t="n">
        <v>10828</v>
      </c>
      <c r="J114" s="18" t="n">
        <v>11049</v>
      </c>
      <c r="K114" s="18" t="n">
        <v>10224.89</v>
      </c>
      <c r="L114" s="18" t="n">
        <v>10754.33</v>
      </c>
      <c r="M114" s="18" t="n">
        <v>9971</v>
      </c>
      <c r="N114" s="18" t="n">
        <v>10067</v>
      </c>
    </row>
    <row r="115" customFormat="false" ht="15" hidden="false" customHeight="false" outlineLevel="0" collapsed="false">
      <c r="A115" s="2" t="n">
        <v>1999</v>
      </c>
      <c r="B115" s="18" t="n">
        <v>4</v>
      </c>
      <c r="C115" s="18" t="n">
        <v>9734.24</v>
      </c>
      <c r="D115" s="18" t="s">
        <v>73</v>
      </c>
      <c r="E115" s="18" t="n">
        <v>9071</v>
      </c>
      <c r="F115" s="18"/>
      <c r="G115" s="18" t="n">
        <v>9539.43</v>
      </c>
      <c r="H115" s="18" t="n">
        <v>9734.24</v>
      </c>
      <c r="I115" s="18" t="n">
        <v>8890</v>
      </c>
      <c r="J115" s="18" t="n">
        <v>9071</v>
      </c>
      <c r="K115" s="18" t="n">
        <v>9366.29</v>
      </c>
      <c r="L115" s="18" t="n">
        <v>9430</v>
      </c>
      <c r="M115" s="18" t="n">
        <v>8994</v>
      </c>
      <c r="N115" s="18" t="n">
        <v>9024</v>
      </c>
    </row>
    <row r="116" customFormat="false" ht="15" hidden="false" customHeight="false" outlineLevel="0" collapsed="false">
      <c r="A116" s="2" t="n">
        <v>1999</v>
      </c>
      <c r="B116" s="18" t="n">
        <v>5</v>
      </c>
      <c r="C116" s="18" t="n">
        <v>8882.9</v>
      </c>
      <c r="D116" s="18" t="s">
        <v>73</v>
      </c>
      <c r="E116" s="18" t="n">
        <v>9579</v>
      </c>
      <c r="F116" s="18"/>
      <c r="G116" s="18" t="n">
        <v>8705.1</v>
      </c>
      <c r="H116" s="18" t="n">
        <v>8882.9</v>
      </c>
      <c r="I116" s="18" t="n">
        <v>9387</v>
      </c>
      <c r="J116" s="18" t="n">
        <v>9579</v>
      </c>
      <c r="K116" s="18" t="n">
        <v>8932.3</v>
      </c>
      <c r="L116" s="18" t="n">
        <v>8968.95</v>
      </c>
      <c r="M116" s="18" t="n">
        <v>9312</v>
      </c>
      <c r="N116" s="18" t="n">
        <v>9377</v>
      </c>
    </row>
    <row r="117" customFormat="false" ht="15" hidden="false" customHeight="false" outlineLevel="0" collapsed="false">
      <c r="A117" s="2" t="n">
        <v>1999</v>
      </c>
      <c r="B117" s="18" t="n">
        <v>6</v>
      </c>
      <c r="C117" s="18" t="n">
        <v>10470.73</v>
      </c>
      <c r="D117" s="18" t="s">
        <v>73</v>
      </c>
      <c r="E117" s="18" t="n">
        <v>11905</v>
      </c>
      <c r="F117" s="18"/>
      <c r="G117" s="18" t="n">
        <v>10261.09</v>
      </c>
      <c r="H117" s="18" t="n">
        <v>10470.73</v>
      </c>
      <c r="I117" s="18" t="n">
        <v>11667</v>
      </c>
      <c r="J117" s="18" t="n">
        <v>11905</v>
      </c>
      <c r="K117" s="18" t="n">
        <v>10837.45</v>
      </c>
      <c r="L117" s="18" t="n">
        <v>10923.18</v>
      </c>
      <c r="M117" s="18" t="n">
        <v>11124</v>
      </c>
      <c r="N117" s="18" t="n">
        <v>11236</v>
      </c>
    </row>
    <row r="118" customFormat="false" ht="15" hidden="false" customHeight="false" outlineLevel="0" collapsed="false">
      <c r="A118" s="2" t="n">
        <v>1999</v>
      </c>
      <c r="B118" s="18" t="n">
        <v>7</v>
      </c>
      <c r="C118" s="18" t="n">
        <v>11705.45</v>
      </c>
      <c r="D118" s="18" t="s">
        <v>73</v>
      </c>
      <c r="E118" s="18" t="n">
        <v>11645</v>
      </c>
      <c r="F118" s="18"/>
      <c r="G118" s="18" t="n">
        <v>11471.32</v>
      </c>
      <c r="H118" s="18" t="n">
        <v>11705.45</v>
      </c>
      <c r="I118" s="18" t="n">
        <v>11412</v>
      </c>
      <c r="J118" s="18" t="n">
        <v>11645</v>
      </c>
      <c r="K118" s="18" t="n">
        <v>11667.14</v>
      </c>
      <c r="L118" s="18" t="n">
        <v>11723</v>
      </c>
      <c r="M118" s="18" t="n">
        <v>11590</v>
      </c>
      <c r="N118" s="18" t="n">
        <v>11651</v>
      </c>
    </row>
    <row r="119" customFormat="false" ht="15" hidden="false" customHeight="false" outlineLevel="0" collapsed="false">
      <c r="A119" s="2" t="n">
        <v>1999</v>
      </c>
      <c r="B119" s="18" t="n">
        <v>8</v>
      </c>
      <c r="C119" s="18" t="n">
        <v>11354.24</v>
      </c>
      <c r="D119" s="18" t="s">
        <v>73</v>
      </c>
      <c r="E119" s="18" t="n">
        <v>11070</v>
      </c>
      <c r="F119" s="18"/>
      <c r="G119" s="18" t="n">
        <v>11127.33</v>
      </c>
      <c r="H119" s="18" t="n">
        <v>11354.24</v>
      </c>
      <c r="I119" s="18" t="n">
        <v>10849</v>
      </c>
      <c r="J119" s="18" t="n">
        <v>11070</v>
      </c>
      <c r="K119" s="18" t="n">
        <v>11133.29</v>
      </c>
      <c r="L119" s="18" t="n">
        <v>11197.24</v>
      </c>
      <c r="M119" s="18" t="n">
        <v>10831</v>
      </c>
      <c r="N119" s="18" t="n">
        <v>10913</v>
      </c>
    </row>
    <row r="120" customFormat="false" ht="15" hidden="false" customHeight="false" outlineLevel="0" collapsed="false">
      <c r="A120" s="2" t="n">
        <v>1999</v>
      </c>
      <c r="B120" s="18" t="n">
        <v>9</v>
      </c>
      <c r="C120" s="18" t="n">
        <v>11483.14</v>
      </c>
      <c r="D120" s="18" t="s">
        <v>73</v>
      </c>
      <c r="E120" s="18" t="n">
        <v>12991</v>
      </c>
      <c r="F120" s="18"/>
      <c r="G120" s="18" t="n">
        <v>11253.45</v>
      </c>
      <c r="H120" s="18" t="n">
        <v>11483.14</v>
      </c>
      <c r="I120" s="18" t="n">
        <v>12731</v>
      </c>
      <c r="J120" s="18" t="n">
        <v>12991</v>
      </c>
      <c r="K120" s="18" t="n">
        <v>12004.64</v>
      </c>
      <c r="L120" s="18" t="n">
        <v>12116.5</v>
      </c>
      <c r="M120" s="18" t="n">
        <v>13637</v>
      </c>
      <c r="N120" s="18" t="n">
        <v>13801</v>
      </c>
    </row>
    <row r="121" customFormat="false" ht="15" hidden="false" customHeight="false" outlineLevel="0" collapsed="false">
      <c r="A121" s="2" t="n">
        <v>1999</v>
      </c>
      <c r="B121" s="18" t="n">
        <v>10</v>
      </c>
      <c r="C121" s="18" t="n">
        <v>14948.62</v>
      </c>
      <c r="D121" s="18" t="s">
        <v>73</v>
      </c>
      <c r="E121" s="18" t="n">
        <v>16419</v>
      </c>
      <c r="F121" s="18"/>
      <c r="G121" s="18" t="n">
        <v>14649.81</v>
      </c>
      <c r="H121" s="18" t="n">
        <v>14948.62</v>
      </c>
      <c r="I121" s="18" t="n">
        <v>16091</v>
      </c>
      <c r="J121" s="18" t="n">
        <v>16419</v>
      </c>
      <c r="K121" s="18" t="n">
        <v>15442.43</v>
      </c>
      <c r="L121" s="18" t="n">
        <v>15656.81</v>
      </c>
      <c r="M121" s="18" t="n">
        <v>16428</v>
      </c>
      <c r="N121" s="18" t="n">
        <v>16558</v>
      </c>
    </row>
    <row r="122" customFormat="false" ht="15" hidden="false" customHeight="false" outlineLevel="0" collapsed="false">
      <c r="A122" s="2" t="n">
        <v>1999</v>
      </c>
      <c r="B122" s="18" t="n">
        <v>11</v>
      </c>
      <c r="C122" s="18" t="n">
        <v>17338.45</v>
      </c>
      <c r="D122" s="18" t="s">
        <v>73</v>
      </c>
      <c r="E122" s="18" t="n">
        <v>17852</v>
      </c>
      <c r="F122" s="18"/>
      <c r="G122" s="18" t="n">
        <v>16991.65</v>
      </c>
      <c r="H122" s="18" t="n">
        <v>17338.45</v>
      </c>
      <c r="I122" s="18" t="n">
        <v>17495</v>
      </c>
      <c r="J122" s="18" t="n">
        <v>17852</v>
      </c>
      <c r="K122" s="18" t="n">
        <v>17314.5</v>
      </c>
      <c r="L122" s="18" t="n">
        <v>17525.45</v>
      </c>
      <c r="M122" s="18" t="n">
        <v>16867</v>
      </c>
      <c r="N122" s="18" t="n">
        <v>16978</v>
      </c>
    </row>
    <row r="123" customFormat="false" ht="15" hidden="false" customHeight="false" outlineLevel="0" collapsed="false">
      <c r="A123" s="2" t="n">
        <v>1999</v>
      </c>
      <c r="B123" s="18" t="n">
        <v>12</v>
      </c>
      <c r="C123" s="18" t="n">
        <v>17754.05</v>
      </c>
      <c r="D123" s="18" t="s">
        <v>73</v>
      </c>
      <c r="E123" s="18" t="n">
        <v>18287</v>
      </c>
      <c r="F123" s="18"/>
      <c r="G123" s="18" t="n">
        <v>17398.82</v>
      </c>
      <c r="H123" s="18" t="n">
        <v>17754.05</v>
      </c>
      <c r="I123" s="18" t="n">
        <v>17921</v>
      </c>
      <c r="J123" s="18" t="n">
        <v>18287</v>
      </c>
      <c r="K123" s="18" t="n">
        <v>17996.45</v>
      </c>
      <c r="L123" s="18" t="n">
        <v>18205.77</v>
      </c>
      <c r="M123" s="18" t="n">
        <v>19858</v>
      </c>
      <c r="N123" s="18" t="n">
        <v>20243</v>
      </c>
    </row>
  </sheetData>
  <autoFilter ref="A1:N123"/>
  <mergeCells count="9">
    <mergeCell ref="C1:F1"/>
    <mergeCell ref="G1:J1"/>
    <mergeCell ref="K1:N1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82" colorId="64" zoomScale="160" zoomScaleNormal="160" zoomScalePageLayoutView="100" workbookViewId="0">
      <selection pane="topLeft" activeCell="F70" activeCellId="0" sqref="F70"/>
    </sheetView>
  </sheetViews>
  <sheetFormatPr defaultColWidth="11.53515625" defaultRowHeight="13.8" zeroHeight="false" outlineLevelRow="0" outlineLevelCol="0"/>
  <cols>
    <col collapsed="false" customWidth="true" hidden="false" outlineLevel="0" max="3" min="3" style="2" width="17.71"/>
    <col collapsed="false" customWidth="true" hidden="false" outlineLevel="0" max="4" min="4" style="2" width="16.84"/>
    <col collapsed="false" customWidth="true" hidden="false" outlineLevel="0" max="5" min="5" style="2" width="17.71"/>
    <col collapsed="false" customWidth="true" hidden="false" outlineLevel="0" max="6" min="6" style="2" width="16.67"/>
    <col collapsed="false" customWidth="true" hidden="false" outlineLevel="0" max="9" min="7" style="2" width="17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74</v>
      </c>
      <c r="D1" s="2" t="s">
        <v>75</v>
      </c>
      <c r="E1" s="2" t="s">
        <v>76</v>
      </c>
      <c r="F1" s="2" t="s">
        <v>77</v>
      </c>
    </row>
    <row r="2" customFormat="false" ht="13.8" hidden="false" customHeight="false" outlineLevel="0" collapsed="false">
      <c r="A2" s="2" t="n">
        <v>1990</v>
      </c>
      <c r="B2" s="2" t="n">
        <v>1</v>
      </c>
      <c r="C2" s="2" t="n">
        <v>1.129234100118</v>
      </c>
      <c r="D2" s="2" t="n">
        <f aca="false">D18*C2/C18</f>
        <v>10.6050179765724</v>
      </c>
      <c r="E2" s="2" t="n">
        <f aca="false">C98/C2</f>
        <v>86.858016299469</v>
      </c>
      <c r="F2" s="2" t="n">
        <f aca="false">E2*D2</f>
        <v>921.130824265288</v>
      </c>
    </row>
    <row r="3" customFormat="false" ht="13.8" hidden="false" customHeight="false" outlineLevel="0" collapsed="false">
      <c r="A3" s="2" t="n">
        <v>1990</v>
      </c>
      <c r="B3" s="2" t="n">
        <v>2</v>
      </c>
      <c r="C3" s="2" t="n">
        <v>1.129234100118</v>
      </c>
      <c r="D3" s="2" t="n">
        <f aca="false">D19*C3/C19</f>
        <v>10.6050179765724</v>
      </c>
      <c r="E3" s="2" t="n">
        <f aca="false">C99/C3</f>
        <v>87.5564177807759</v>
      </c>
      <c r="F3" s="2" t="n">
        <f aca="false">E3*D3</f>
        <v>928.537384529416</v>
      </c>
    </row>
    <row r="4" customFormat="false" ht="13.8" hidden="false" customHeight="false" outlineLevel="0" collapsed="false">
      <c r="A4" s="2" t="n">
        <v>1990</v>
      </c>
      <c r="B4" s="2" t="n">
        <v>3</v>
      </c>
      <c r="C4" s="2" t="n">
        <v>1.129234100118</v>
      </c>
      <c r="D4" s="2" t="n">
        <f aca="false">D20*C4/C20</f>
        <v>10.6050179765724</v>
      </c>
      <c r="E4" s="2" t="n">
        <f aca="false">C100/C4</f>
        <v>88.2613282100593</v>
      </c>
      <c r="F4" s="2" t="n">
        <f aca="false">E4*D4</f>
        <v>936.01297230384</v>
      </c>
    </row>
    <row r="5" customFormat="false" ht="13.8" hidden="false" customHeight="false" outlineLevel="0" collapsed="false">
      <c r="A5" s="2" t="n">
        <v>1990</v>
      </c>
      <c r="B5" s="2" t="n">
        <v>4</v>
      </c>
      <c r="C5" s="2" t="n">
        <v>1.129234100118</v>
      </c>
      <c r="D5" s="2" t="n">
        <f aca="false">D21*C5/C21</f>
        <v>10.6050179765725</v>
      </c>
      <c r="E5" s="2" t="n">
        <f aca="false">C101/C5</f>
        <v>89.0040424524625</v>
      </c>
      <c r="F5" s="2" t="n">
        <f aca="false">E5*D5</f>
        <v>943.889470195986</v>
      </c>
    </row>
    <row r="6" customFormat="false" ht="13.8" hidden="false" customHeight="false" outlineLevel="0" collapsed="false">
      <c r="A6" s="2" t="n">
        <v>1991</v>
      </c>
      <c r="B6" s="2" t="n">
        <v>1</v>
      </c>
      <c r="C6" s="2" t="n">
        <v>1.67942408181436</v>
      </c>
      <c r="D6" s="2" t="n">
        <f aca="false">D18*C6/C18</f>
        <v>15.7720375040649</v>
      </c>
      <c r="E6" s="2" t="n">
        <f aca="false">C98/C6</f>
        <v>58.4027792241742</v>
      </c>
      <c r="F6" s="2" t="n">
        <f aca="false">E6*D6</f>
        <v>921.130824265298</v>
      </c>
    </row>
    <row r="7" customFormat="false" ht="13.8" hidden="false" customHeight="false" outlineLevel="0" collapsed="false">
      <c r="A7" s="2" t="n">
        <v>1991</v>
      </c>
      <c r="B7" s="2" t="n">
        <v>2</v>
      </c>
      <c r="C7" s="2" t="n">
        <v>1.67942408181436</v>
      </c>
      <c r="D7" s="2" t="n">
        <f aca="false">D19*C7/C19</f>
        <v>15.7720375040649</v>
      </c>
      <c r="E7" s="2" t="n">
        <f aca="false">C99/C7</f>
        <v>58.8723799502828</v>
      </c>
      <c r="F7" s="2" t="n">
        <f aca="false">E7*D7</f>
        <v>928.537384529417</v>
      </c>
    </row>
    <row r="8" customFormat="false" ht="13.8" hidden="false" customHeight="false" outlineLevel="0" collapsed="false">
      <c r="A8" s="2" t="n">
        <v>1991</v>
      </c>
      <c r="B8" s="2" t="n">
        <v>3</v>
      </c>
      <c r="C8" s="2" t="n">
        <v>1.67942408181436</v>
      </c>
      <c r="D8" s="2" t="n">
        <f aca="false">D20*C8/C20</f>
        <v>15.7720375040649</v>
      </c>
      <c r="E8" s="2" t="n">
        <f aca="false">C100/C8</f>
        <v>59.3463572517251</v>
      </c>
      <c r="F8" s="2" t="n">
        <f aca="false">E8*D8</f>
        <v>936.012972303842</v>
      </c>
    </row>
    <row r="9" customFormat="false" ht="13.8" hidden="false" customHeight="false" outlineLevel="0" collapsed="false">
      <c r="A9" s="2" t="n">
        <v>1991</v>
      </c>
      <c r="B9" s="2" t="n">
        <v>4</v>
      </c>
      <c r="C9" s="2" t="n">
        <v>1.67942408181436</v>
      </c>
      <c r="D9" s="2" t="n">
        <f aca="false">D21*C9/C21</f>
        <v>15.7720375040649</v>
      </c>
      <c r="E9" s="2" t="n">
        <f aca="false">C101/C9</f>
        <v>59.8457535973215</v>
      </c>
      <c r="F9" s="2" t="n">
        <f aca="false">E9*D9</f>
        <v>943.889470195979</v>
      </c>
    </row>
    <row r="10" customFormat="false" ht="13.8" hidden="false" customHeight="false" outlineLevel="0" collapsed="false">
      <c r="A10" s="2" t="n">
        <v>1992</v>
      </c>
      <c r="B10" s="2" t="n">
        <v>1</v>
      </c>
      <c r="C10" s="2" t="n">
        <v>2.59648729287527</v>
      </c>
      <c r="D10" s="2" t="n">
        <f aca="false">D18*C10/C18</f>
        <v>24.3844871617027</v>
      </c>
      <c r="E10" s="2" t="n">
        <f aca="false">C98/C10</f>
        <v>37.7752797570411</v>
      </c>
      <c r="F10" s="2" t="n">
        <f aca="false">E10*D10</f>
        <v>921.130824265295</v>
      </c>
    </row>
    <row r="11" customFormat="false" ht="13.8" hidden="false" customHeight="false" outlineLevel="0" collapsed="false">
      <c r="A11" s="2" t="n">
        <v>1992</v>
      </c>
      <c r="B11" s="2" t="n">
        <v>2</v>
      </c>
      <c r="C11" s="2" t="n">
        <v>2.59648729287527</v>
      </c>
      <c r="D11" s="2" t="n">
        <f aca="false">D19*C11/C19</f>
        <v>24.3844871617027</v>
      </c>
      <c r="E11" s="2" t="n">
        <f aca="false">C99/C11</f>
        <v>38.0790204186759</v>
      </c>
      <c r="F11" s="2" t="n">
        <f aca="false">E11*D11</f>
        <v>928.537384529416</v>
      </c>
    </row>
    <row r="12" customFormat="false" ht="13.8" hidden="false" customHeight="false" outlineLevel="0" collapsed="false">
      <c r="A12" s="2" t="n">
        <v>1992</v>
      </c>
      <c r="B12" s="2" t="n">
        <v>3</v>
      </c>
      <c r="C12" s="2" t="n">
        <v>2.59648729287527</v>
      </c>
      <c r="D12" s="2" t="n">
        <f aca="false">D20*C12/C20</f>
        <v>24.3844871617027</v>
      </c>
      <c r="E12" s="2" t="n">
        <f aca="false">C100/C12</f>
        <v>38.3855918763756</v>
      </c>
      <c r="F12" s="2" t="n">
        <f aca="false">E12*D12</f>
        <v>936.01297230384</v>
      </c>
    </row>
    <row r="13" customFormat="false" ht="13.8" hidden="false" customHeight="false" outlineLevel="0" collapsed="false">
      <c r="A13" s="2" t="n">
        <v>1992</v>
      </c>
      <c r="B13" s="2" t="n">
        <v>4</v>
      </c>
      <c r="C13" s="2" t="n">
        <v>2.59648729287527</v>
      </c>
      <c r="D13" s="2" t="n">
        <f aca="false">D21*C13/C21</f>
        <v>24.3844871617027</v>
      </c>
      <c r="E13" s="2" t="n">
        <f aca="false">C101/C13</f>
        <v>38.7086045294573</v>
      </c>
      <c r="F13" s="2" t="n">
        <f aca="false">E13*D13</f>
        <v>943.889470195979</v>
      </c>
    </row>
    <row r="14" customFormat="false" ht="13.8" hidden="false" customHeight="false" outlineLevel="0" collapsed="false">
      <c r="A14" s="2" t="n">
        <v>1993</v>
      </c>
      <c r="B14" s="2" t="n">
        <v>1</v>
      </c>
      <c r="C14" s="2" t="n">
        <v>3.76373955123891</v>
      </c>
      <c r="D14" s="2" t="n">
        <f aca="false">D18*C14/C18</f>
        <v>35.3465464741585</v>
      </c>
      <c r="E14" s="2" t="n">
        <f aca="false">C98/C14</f>
        <v>26.0599949966462</v>
      </c>
      <c r="F14" s="2" t="n">
        <f aca="false">E14*D14</f>
        <v>921.130824265295</v>
      </c>
    </row>
    <row r="15" customFormat="false" ht="13.8" hidden="false" customHeight="false" outlineLevel="0" collapsed="false">
      <c r="A15" s="2" t="n">
        <v>1993</v>
      </c>
      <c r="B15" s="2" t="n">
        <v>2</v>
      </c>
      <c r="C15" s="2" t="n">
        <v>3.76373955123891</v>
      </c>
      <c r="D15" s="2" t="n">
        <f aca="false">D19*C15/C19</f>
        <v>35.3465464741585</v>
      </c>
      <c r="E15" s="2" t="n">
        <f aca="false">C99/C15</f>
        <v>26.2695362673765</v>
      </c>
      <c r="F15" s="2" t="n">
        <f aca="false">E15*D15</f>
        <v>928.537384529416</v>
      </c>
    </row>
    <row r="16" customFormat="false" ht="13.8" hidden="false" customHeight="false" outlineLevel="0" collapsed="false">
      <c r="A16" s="2" t="n">
        <v>1993</v>
      </c>
      <c r="B16" s="2" t="n">
        <v>3</v>
      </c>
      <c r="C16" s="2" t="n">
        <v>3.76373955123891</v>
      </c>
      <c r="D16" s="2" t="n">
        <f aca="false">D20*C16/C20</f>
        <v>35.3465464741585</v>
      </c>
      <c r="E16" s="2" t="n">
        <f aca="false">C100/C16</f>
        <v>26.4810304165967</v>
      </c>
      <c r="F16" s="2" t="n">
        <f aca="false">E16*D16</f>
        <v>936.01297230384</v>
      </c>
    </row>
    <row r="17" customFormat="false" ht="13.8" hidden="false" customHeight="false" outlineLevel="0" collapsed="false">
      <c r="A17" s="2" t="n">
        <v>1993</v>
      </c>
      <c r="B17" s="2" t="n">
        <v>4</v>
      </c>
      <c r="C17" s="2" t="n">
        <v>3.76373955123891</v>
      </c>
      <c r="D17" s="2" t="n">
        <f aca="false">D21*C17/C21</f>
        <v>35.3465464741586</v>
      </c>
      <c r="E17" s="2" t="n">
        <f aca="false">C101/C17</f>
        <v>26.7038668370628</v>
      </c>
      <c r="F17" s="2" t="n">
        <f aca="false">E17*D17</f>
        <v>943.889470195983</v>
      </c>
    </row>
    <row r="18" customFormat="false" ht="13.8" hidden="false" customHeight="false" outlineLevel="0" collapsed="false">
      <c r="A18" s="2" t="n">
        <v>1994</v>
      </c>
      <c r="B18" s="2" t="n">
        <v>1</v>
      </c>
      <c r="C18" s="2" t="n">
        <v>4.79165001111421</v>
      </c>
      <c r="D18" s="2" t="n">
        <v>45</v>
      </c>
      <c r="E18" s="2" t="n">
        <f aca="false">C98/C18</f>
        <v>20.4695738725621</v>
      </c>
      <c r="F18" s="2" t="n">
        <f aca="false">E18*D18</f>
        <v>921.130824265295</v>
      </c>
    </row>
    <row r="19" customFormat="false" ht="13.8" hidden="false" customHeight="false" outlineLevel="0" collapsed="false">
      <c r="A19" s="2" t="n">
        <v>1994</v>
      </c>
      <c r="B19" s="2" t="n">
        <v>2</v>
      </c>
      <c r="C19" s="2" t="n">
        <v>4.79165001111421</v>
      </c>
      <c r="D19" s="2" t="n">
        <v>45</v>
      </c>
      <c r="E19" s="2" t="n">
        <f aca="false">C99/C19</f>
        <v>20.6341641006537</v>
      </c>
      <c r="F19" s="2" t="n">
        <f aca="false">E19*D19</f>
        <v>928.537384529416</v>
      </c>
    </row>
    <row r="20" customFormat="false" ht="13.8" hidden="false" customHeight="false" outlineLevel="0" collapsed="false">
      <c r="A20" s="2" t="n">
        <v>1994</v>
      </c>
      <c r="B20" s="2" t="n">
        <v>3</v>
      </c>
      <c r="C20" s="2" t="n">
        <v>4.79165001111421</v>
      </c>
      <c r="D20" s="2" t="n">
        <v>45</v>
      </c>
      <c r="E20" s="2" t="n">
        <f aca="false">C100/C20</f>
        <v>20.8002882734187</v>
      </c>
      <c r="F20" s="2" t="n">
        <f aca="false">E20*D20</f>
        <v>936.01297230384</v>
      </c>
    </row>
    <row r="21" customFormat="false" ht="13.8" hidden="false" customHeight="false" outlineLevel="0" collapsed="false">
      <c r="A21" s="2" t="n">
        <v>1994</v>
      </c>
      <c r="B21" s="2" t="n">
        <v>4</v>
      </c>
      <c r="C21" s="2" t="n">
        <v>4.79165001111421</v>
      </c>
      <c r="D21" s="2" t="n">
        <v>45</v>
      </c>
      <c r="E21" s="2" t="n">
        <f aca="false">C101/C21</f>
        <v>20.9753215599107</v>
      </c>
      <c r="F21" s="2" t="n">
        <f aca="false">E21*D21</f>
        <v>943.889470195979</v>
      </c>
    </row>
    <row r="22" customFormat="false" ht="13.8" hidden="false" customHeight="false" outlineLevel="0" collapsed="false">
      <c r="A22" s="2" t="n">
        <v>1995</v>
      </c>
      <c r="B22" s="2" t="n">
        <v>1</v>
      </c>
      <c r="C22" s="2" t="n">
        <v>5.89055893656967</v>
      </c>
      <c r="D22" s="2" t="n">
        <v>48.2</v>
      </c>
      <c r="E22" s="2" t="n">
        <f aca="false">C98/C22</f>
        <v>16.650887450603</v>
      </c>
      <c r="F22" s="2" t="n">
        <f aca="false">E22*D22</f>
        <v>802.572775119067</v>
      </c>
    </row>
    <row r="23" customFormat="false" ht="13.8" hidden="false" customHeight="false" outlineLevel="0" collapsed="false">
      <c r="A23" s="2" t="n">
        <v>1995</v>
      </c>
      <c r="B23" s="2" t="n">
        <v>2</v>
      </c>
      <c r="C23" s="2" t="n">
        <v>5.89055893656967</v>
      </c>
      <c r="D23" s="2" t="n">
        <v>48.2</v>
      </c>
      <c r="E23" s="2" t="n">
        <f aca="false">C99/C23</f>
        <v>16.7847726687558</v>
      </c>
      <c r="F23" s="2" t="n">
        <f aca="false">E23*D23</f>
        <v>809.026042634029</v>
      </c>
    </row>
    <row r="24" customFormat="false" ht="13.8" hidden="false" customHeight="false" outlineLevel="0" collapsed="false">
      <c r="A24" s="2" t="n">
        <v>1995</v>
      </c>
      <c r="B24" s="2" t="n">
        <v>3</v>
      </c>
      <c r="C24" s="2" t="n">
        <v>5.89055893656967</v>
      </c>
      <c r="D24" s="2" t="n">
        <v>48.2</v>
      </c>
      <c r="E24" s="2" t="n">
        <f aca="false">C100/C24</f>
        <v>16.9199056676524</v>
      </c>
      <c r="F24" s="2" t="n">
        <f aca="false">E24*D24</f>
        <v>815.539453180844</v>
      </c>
    </row>
    <row r="25" customFormat="false" ht="13.8" hidden="false" customHeight="false" outlineLevel="0" collapsed="false">
      <c r="A25" s="2" t="n">
        <v>1995</v>
      </c>
      <c r="B25" s="2" t="n">
        <v>4</v>
      </c>
      <c r="C25" s="2" t="n">
        <v>5.89055893656967</v>
      </c>
      <c r="D25" s="2" t="n">
        <v>48.2</v>
      </c>
      <c r="E25" s="2" t="n">
        <f aca="false">C101/C25</f>
        <v>17.0622857470635</v>
      </c>
      <c r="F25" s="2" t="n">
        <f aca="false">E25*D25</f>
        <v>822.402173008459</v>
      </c>
    </row>
    <row r="26" customFormat="false" ht="13.8" hidden="false" customHeight="false" outlineLevel="0" collapsed="false">
      <c r="A26" s="2" t="n">
        <v>1996</v>
      </c>
      <c r="B26" s="2" t="n">
        <v>1</v>
      </c>
      <c r="C26" s="2" t="n">
        <v>7.32721327856884</v>
      </c>
      <c r="D26" s="2" t="n">
        <v>48.2</v>
      </c>
      <c r="E26" s="2" t="n">
        <f aca="false">C98/C26</f>
        <v>13.3861305990431</v>
      </c>
      <c r="F26" s="2" t="n">
        <f aca="false">E26*D26</f>
        <v>645.211494873879</v>
      </c>
    </row>
    <row r="27" customFormat="false" ht="13.8" hidden="false" customHeight="false" outlineLevel="0" collapsed="false">
      <c r="A27" s="2" t="n">
        <v>1996</v>
      </c>
      <c r="B27" s="2" t="n">
        <v>2</v>
      </c>
      <c r="C27" s="2" t="n">
        <v>7.32721327856884</v>
      </c>
      <c r="D27" s="2" t="n">
        <v>48.2</v>
      </c>
      <c r="E27" s="2" t="n">
        <f aca="false">C99/C27</f>
        <v>13.4937648029732</v>
      </c>
      <c r="F27" s="2" t="n">
        <f aca="false">E27*D27</f>
        <v>650.399463503307</v>
      </c>
    </row>
    <row r="28" customFormat="false" ht="13.8" hidden="false" customHeight="false" outlineLevel="0" collapsed="false">
      <c r="A28" s="2" t="n">
        <v>1996</v>
      </c>
      <c r="B28" s="2" t="n">
        <v>3</v>
      </c>
      <c r="C28" s="2" t="n">
        <v>7.32721327856884</v>
      </c>
      <c r="D28" s="2" t="n">
        <v>48.2</v>
      </c>
      <c r="E28" s="2" t="n">
        <f aca="false">C100/C28</f>
        <v>13.6024021339765</v>
      </c>
      <c r="F28" s="2" t="n">
        <f aca="false">E28*D28</f>
        <v>655.635782857665</v>
      </c>
    </row>
    <row r="29" customFormat="false" ht="13.8" hidden="false" customHeight="false" outlineLevel="0" collapsed="false">
      <c r="A29" s="2" t="n">
        <v>1996</v>
      </c>
      <c r="B29" s="2" t="n">
        <v>4</v>
      </c>
      <c r="C29" s="2" t="n">
        <v>7.32721327856884</v>
      </c>
      <c r="D29" s="2" t="n">
        <v>48.2</v>
      </c>
      <c r="E29" s="2" t="n">
        <f aca="false">C101/C29</f>
        <v>13.7168656028668</v>
      </c>
      <c r="F29" s="2" t="n">
        <f aca="false">E29*D29</f>
        <v>661.152922058181</v>
      </c>
    </row>
    <row r="30" customFormat="false" ht="13.8" hidden="false" customHeight="false" outlineLevel="0" collapsed="false">
      <c r="A30" s="2" t="n">
        <v>1997</v>
      </c>
      <c r="B30" s="2" t="n">
        <v>1</v>
      </c>
      <c r="C30" s="2" t="n">
        <v>9.57592002765096</v>
      </c>
      <c r="D30" s="2" t="n">
        <v>48.2</v>
      </c>
      <c r="E30" s="2" t="n">
        <f aca="false">C98/C30</f>
        <v>10.2426747080955</v>
      </c>
      <c r="F30" s="2" t="n">
        <f aca="false">E30*D30</f>
        <v>493.696920930202</v>
      </c>
    </row>
    <row r="31" customFormat="false" ht="13.8" hidden="false" customHeight="false" outlineLevel="0" collapsed="false">
      <c r="A31" s="2" t="n">
        <v>1997</v>
      </c>
      <c r="B31" s="2" t="n">
        <v>2</v>
      </c>
      <c r="C31" s="2" t="n">
        <v>9.57592002765096</v>
      </c>
      <c r="D31" s="2" t="n">
        <v>48.2</v>
      </c>
      <c r="E31" s="2" t="n">
        <f aca="false">C99/C31</f>
        <v>10.3250332455506</v>
      </c>
      <c r="F31" s="2" t="n">
        <f aca="false">E31*D31</f>
        <v>497.666602435538</v>
      </c>
    </row>
    <row r="32" customFormat="false" ht="13.8" hidden="false" customHeight="false" outlineLevel="0" collapsed="false">
      <c r="A32" s="2" t="n">
        <v>1997</v>
      </c>
      <c r="B32" s="2" t="n">
        <v>3</v>
      </c>
      <c r="C32" s="2" t="n">
        <v>9.57592002765096</v>
      </c>
      <c r="D32" s="2" t="n">
        <v>48.2</v>
      </c>
      <c r="E32" s="2" t="n">
        <f aca="false">C100/C32</f>
        <v>10.4081593464346</v>
      </c>
      <c r="F32" s="2" t="n">
        <f aca="false">E32*D32</f>
        <v>501.673280498147</v>
      </c>
    </row>
    <row r="33" customFormat="false" ht="13.8" hidden="false" customHeight="false" outlineLevel="0" collapsed="false">
      <c r="A33" s="2" t="n">
        <v>1997</v>
      </c>
      <c r="B33" s="2" t="n">
        <v>4</v>
      </c>
      <c r="C33" s="2" t="n">
        <v>9.57592002765096</v>
      </c>
      <c r="D33" s="2" t="n">
        <v>48.2</v>
      </c>
      <c r="E33" s="2" t="n">
        <f aca="false">C101/C33</f>
        <v>10.4957434372314</v>
      </c>
      <c r="F33" s="2" t="n">
        <f aca="false">E33*D33</f>
        <v>505.894833674552</v>
      </c>
    </row>
    <row r="34" customFormat="false" ht="13.8" hidden="false" customHeight="false" outlineLevel="0" collapsed="false">
      <c r="A34" s="2" t="n">
        <v>1998</v>
      </c>
      <c r="B34" s="2" t="n">
        <v>1</v>
      </c>
      <c r="C34" s="2" t="n">
        <v>11.9004928701865</v>
      </c>
      <c r="D34" s="2" t="n">
        <v>45.6</v>
      </c>
      <c r="E34" s="2" t="n">
        <f aca="false">C98/C34</f>
        <v>8.24193039262149</v>
      </c>
      <c r="F34" s="2" t="n">
        <f aca="false">E34*D34</f>
        <v>375.83202590354</v>
      </c>
    </row>
    <row r="35" customFormat="false" ht="13.8" hidden="false" customHeight="false" outlineLevel="0" collapsed="false">
      <c r="A35" s="2" t="n">
        <v>1998</v>
      </c>
      <c r="B35" s="2" t="n">
        <v>2</v>
      </c>
      <c r="C35" s="2" t="n">
        <v>11.9004928701865</v>
      </c>
      <c r="D35" s="2" t="n">
        <v>45.6</v>
      </c>
      <c r="E35" s="2" t="n">
        <f aca="false">C99/C35</f>
        <v>8.3082014939</v>
      </c>
      <c r="F35" s="2" t="n">
        <f aca="false">E35*D35</f>
        <v>378.85398812184</v>
      </c>
    </row>
    <row r="36" customFormat="false" ht="13.8" hidden="false" customHeight="false" outlineLevel="0" collapsed="false">
      <c r="A36" s="2" t="n">
        <v>1998</v>
      </c>
      <c r="B36" s="2" t="n">
        <v>3</v>
      </c>
      <c r="C36" s="2" t="n">
        <v>11.9004928701865</v>
      </c>
      <c r="D36" s="2" t="n">
        <v>45.6</v>
      </c>
      <c r="E36" s="2" t="n">
        <f aca="false">C100/C36</f>
        <v>8.37509022724564</v>
      </c>
      <c r="F36" s="2" t="n">
        <f aca="false">E36*D36</f>
        <v>381.904114362401</v>
      </c>
    </row>
    <row r="37" customFormat="false" ht="13.8" hidden="false" customHeight="false" outlineLevel="0" collapsed="false">
      <c r="A37" s="2" t="n">
        <v>1998</v>
      </c>
      <c r="B37" s="2" t="n">
        <v>4</v>
      </c>
      <c r="C37" s="2" t="n">
        <v>11.9004928701865</v>
      </c>
      <c r="D37" s="2" t="n">
        <v>45.6</v>
      </c>
      <c r="E37" s="2" t="n">
        <f aca="false">C101/C37</f>
        <v>8.44556615276514</v>
      </c>
      <c r="F37" s="2" t="n">
        <f aca="false">E37*D37</f>
        <v>385.117816566091</v>
      </c>
    </row>
    <row r="38" customFormat="false" ht="13.8" hidden="false" customHeight="false" outlineLevel="0" collapsed="false">
      <c r="A38" s="2" t="n">
        <v>1999</v>
      </c>
      <c r="B38" s="2" t="n">
        <v>1</v>
      </c>
      <c r="C38" s="2" t="n">
        <v>19.8418443183828</v>
      </c>
      <c r="D38" s="2" t="n">
        <v>43</v>
      </c>
      <c r="E38" s="2" t="n">
        <f aca="false">C98/C38</f>
        <v>4.94324178237276</v>
      </c>
      <c r="F38" s="2" t="n">
        <f aca="false">E38*D38</f>
        <v>212.559396642029</v>
      </c>
    </row>
    <row r="39" customFormat="false" ht="13.8" hidden="false" customHeight="false" outlineLevel="0" collapsed="false">
      <c r="A39" s="2" t="n">
        <v>1999</v>
      </c>
      <c r="B39" s="2" t="n">
        <v>2</v>
      </c>
      <c r="C39" s="2" t="n">
        <v>19.8418443183828</v>
      </c>
      <c r="D39" s="2" t="n">
        <v>43</v>
      </c>
      <c r="E39" s="2" t="n">
        <f aca="false">C99/C39</f>
        <v>4.98298903346543</v>
      </c>
      <c r="F39" s="2" t="n">
        <f aca="false">E39*D39</f>
        <v>214.268528439013</v>
      </c>
    </row>
    <row r="40" customFormat="false" ht="13.8" hidden="false" customHeight="false" outlineLevel="0" collapsed="false">
      <c r="A40" s="2" t="n">
        <v>1999</v>
      </c>
      <c r="B40" s="2" t="n">
        <v>3</v>
      </c>
      <c r="C40" s="2" t="n">
        <v>19.8418443183828</v>
      </c>
      <c r="D40" s="2" t="n">
        <v>43</v>
      </c>
      <c r="E40" s="2" t="n">
        <f aca="false">C100/C40</f>
        <v>5.0231067201836</v>
      </c>
      <c r="F40" s="2" t="n">
        <f aca="false">E40*D40</f>
        <v>215.993588967895</v>
      </c>
    </row>
    <row r="41" customFormat="false" ht="13.8" hidden="false" customHeight="false" outlineLevel="0" collapsed="false">
      <c r="A41" s="2" t="n">
        <v>1999</v>
      </c>
      <c r="B41" s="2" t="n">
        <v>4</v>
      </c>
      <c r="C41" s="2" t="n">
        <v>19.8418443183828</v>
      </c>
      <c r="D41" s="2" t="n">
        <v>43</v>
      </c>
      <c r="E41" s="2" t="n">
        <f aca="false">C101/C41</f>
        <v>5.06537588809495</v>
      </c>
      <c r="F41" s="2" t="n">
        <f aca="false">E41*D41</f>
        <v>217.811163188083</v>
      </c>
    </row>
    <row r="42" customFormat="false" ht="13.8" hidden="false" customHeight="false" outlineLevel="0" collapsed="false">
      <c r="A42" s="2" t="n">
        <v>2000</v>
      </c>
      <c r="B42" s="2" t="n">
        <v>1</v>
      </c>
      <c r="C42" s="2" t="n">
        <v>38.8716250483839</v>
      </c>
      <c r="D42" s="2" t="n">
        <v>43</v>
      </c>
      <c r="E42" s="2" t="n">
        <f aca="false">C98/C42</f>
        <v>2.52325529873991</v>
      </c>
      <c r="F42" s="2" t="n">
        <f aca="false">E42*D42</f>
        <v>108.499977845816</v>
      </c>
    </row>
    <row r="43" customFormat="false" ht="13.8" hidden="false" customHeight="false" outlineLevel="0" collapsed="false">
      <c r="A43" s="2" t="n">
        <v>2000</v>
      </c>
      <c r="B43" s="2" t="n">
        <v>2</v>
      </c>
      <c r="C43" s="2" t="n">
        <v>38.8716250483839</v>
      </c>
      <c r="D43" s="2" t="n">
        <v>43</v>
      </c>
      <c r="E43" s="2" t="n">
        <f aca="false">C99/C43</f>
        <v>2.54354410239251</v>
      </c>
      <c r="F43" s="2" t="n">
        <f aca="false">E43*D43</f>
        <v>109.372396402878</v>
      </c>
    </row>
    <row r="44" customFormat="false" ht="13.8" hidden="false" customHeight="false" outlineLevel="0" collapsed="false">
      <c r="A44" s="2" t="n">
        <v>2000</v>
      </c>
      <c r="B44" s="2" t="n">
        <v>3</v>
      </c>
      <c r="C44" s="2" t="n">
        <v>38.8716250483839</v>
      </c>
      <c r="D44" s="2" t="n">
        <v>43</v>
      </c>
      <c r="E44" s="2" t="n">
        <f aca="false">C100/C44</f>
        <v>2.56402199322637</v>
      </c>
      <c r="F44" s="2" t="n">
        <f aca="false">E44*D44</f>
        <v>110.252945708734</v>
      </c>
    </row>
    <row r="45" customFormat="false" ht="13.8" hidden="false" customHeight="false" outlineLevel="0" collapsed="false">
      <c r="A45" s="2" t="n">
        <v>2000</v>
      </c>
      <c r="B45" s="2" t="n">
        <v>4</v>
      </c>
      <c r="C45" s="2" t="n">
        <v>38.8716250483839</v>
      </c>
      <c r="D45" s="2" t="n">
        <v>43</v>
      </c>
      <c r="E45" s="2" t="n">
        <f aca="false">C101/C45</f>
        <v>2.58559809785592</v>
      </c>
      <c r="F45" s="2" t="n">
        <f aca="false">E45*D45</f>
        <v>111.180718207805</v>
      </c>
    </row>
    <row r="46" customFormat="false" ht="13.8" hidden="false" customHeight="false" outlineLevel="0" collapsed="false">
      <c r="A46" s="2" t="n">
        <v>2001</v>
      </c>
      <c r="B46" s="2" t="n">
        <v>1</v>
      </c>
      <c r="C46" s="2" t="n">
        <v>53.5155139350264</v>
      </c>
      <c r="D46" s="2" t="n">
        <v>43</v>
      </c>
      <c r="E46" s="2" t="n">
        <f aca="false">C98/C46</f>
        <v>1.83279626152986</v>
      </c>
      <c r="F46" s="2" t="n">
        <f aca="false">E46*D46</f>
        <v>78.810239245784</v>
      </c>
    </row>
    <row r="47" customFormat="false" ht="13.8" hidden="false" customHeight="false" outlineLevel="0" collapsed="false">
      <c r="A47" s="2" t="n">
        <v>2001</v>
      </c>
      <c r="B47" s="2" t="n">
        <v>2</v>
      </c>
      <c r="C47" s="2" t="n">
        <v>53.5155139350264</v>
      </c>
      <c r="D47" s="2" t="n">
        <v>43</v>
      </c>
      <c r="E47" s="2" t="n">
        <f aca="false">C99/C47</f>
        <v>1.84753327347787</v>
      </c>
      <c r="F47" s="2" t="n">
        <f aca="false">E47*D47</f>
        <v>79.4439307595483</v>
      </c>
    </row>
    <row r="48" customFormat="false" ht="13.8" hidden="false" customHeight="false" outlineLevel="0" collapsed="false">
      <c r="A48" s="2" t="n">
        <v>2001</v>
      </c>
      <c r="B48" s="2" t="n">
        <v>3</v>
      </c>
      <c r="C48" s="2" t="n">
        <v>53.5155139350264</v>
      </c>
      <c r="D48" s="2" t="n">
        <v>43</v>
      </c>
      <c r="E48" s="2" t="n">
        <f aca="false">C100/C48</f>
        <v>1.86240763113128</v>
      </c>
      <c r="F48" s="2" t="n">
        <f aca="false">E48*D48</f>
        <v>80.083528138645</v>
      </c>
    </row>
    <row r="49" customFormat="false" ht="13.8" hidden="false" customHeight="false" outlineLevel="0" collapsed="false">
      <c r="A49" s="2" t="n">
        <v>2001</v>
      </c>
      <c r="B49" s="2" t="n">
        <v>4</v>
      </c>
      <c r="C49" s="2" t="n">
        <v>53.5155139350264</v>
      </c>
      <c r="D49" s="2" t="n">
        <v>43</v>
      </c>
      <c r="E49" s="2" t="n">
        <f aca="false">C101/C49</f>
        <v>1.87807968933449</v>
      </c>
      <c r="F49" s="2" t="n">
        <f aca="false">E49*D49</f>
        <v>80.7574266413831</v>
      </c>
    </row>
    <row r="50" customFormat="false" ht="13.8" hidden="false" customHeight="false" outlineLevel="0" collapsed="false">
      <c r="A50" s="2" t="n">
        <v>2002</v>
      </c>
      <c r="B50" s="2" t="n">
        <v>1</v>
      </c>
      <c r="C50" s="2" t="n">
        <v>60.226519090537</v>
      </c>
      <c r="D50" s="2" t="n">
        <v>43</v>
      </c>
      <c r="E50" s="2" t="n">
        <f aca="false">C98/C50</f>
        <v>1.62856886559424</v>
      </c>
      <c r="F50" s="2" t="n">
        <f aca="false">E50*D50</f>
        <v>70.0284612205522</v>
      </c>
    </row>
    <row r="51" customFormat="false" ht="13.8" hidden="false" customHeight="false" outlineLevel="0" collapsed="false">
      <c r="A51" s="2" t="n">
        <v>2002</v>
      </c>
      <c r="B51" s="2" t="n">
        <v>2</v>
      </c>
      <c r="C51" s="2" t="n">
        <v>60.226519090537</v>
      </c>
      <c r="D51" s="2" t="n">
        <v>43</v>
      </c>
      <c r="E51" s="2" t="n">
        <f aca="false">C99/C51</f>
        <v>1.64166374107722</v>
      </c>
      <c r="F51" s="2" t="n">
        <f aca="false">E51*D51</f>
        <v>70.5915408663206</v>
      </c>
    </row>
    <row r="52" customFormat="false" ht="13.8" hidden="false" customHeight="false" outlineLevel="0" collapsed="false">
      <c r="A52" s="2" t="n">
        <v>2002</v>
      </c>
      <c r="B52" s="2" t="n">
        <v>3</v>
      </c>
      <c r="C52" s="2" t="n">
        <v>60.226519090537</v>
      </c>
      <c r="D52" s="2" t="n">
        <v>43</v>
      </c>
      <c r="E52" s="2" t="n">
        <f aca="false">C100/C52</f>
        <v>1.65488065791545</v>
      </c>
      <c r="F52" s="2" t="n">
        <f aca="false">E52*D52</f>
        <v>71.1598682903644</v>
      </c>
    </row>
    <row r="53" customFormat="false" ht="13.8" hidden="false" customHeight="false" outlineLevel="0" collapsed="false">
      <c r="A53" s="2" t="n">
        <v>2002</v>
      </c>
      <c r="B53" s="2" t="n">
        <v>4</v>
      </c>
      <c r="C53" s="2" t="n">
        <v>60.226519090537</v>
      </c>
      <c r="D53" s="2" t="n">
        <v>43</v>
      </c>
      <c r="E53" s="2" t="n">
        <f aca="false">C101/C53</f>
        <v>1.66880638800627</v>
      </c>
      <c r="F53" s="2" t="n">
        <f aca="false">E53*D53</f>
        <v>71.7586746842698</v>
      </c>
    </row>
    <row r="54" customFormat="false" ht="13.8" hidden="false" customHeight="false" outlineLevel="0" collapsed="false">
      <c r="A54" s="2" t="n">
        <v>2003</v>
      </c>
      <c r="B54" s="2" t="n">
        <v>1</v>
      </c>
      <c r="C54" s="2" t="n">
        <v>65.0259739679457</v>
      </c>
      <c r="D54" s="2" t="n">
        <v>43</v>
      </c>
      <c r="E54" s="2" t="n">
        <f aca="false">C98/C54</f>
        <v>1.50836700919413</v>
      </c>
      <c r="F54" s="2" t="n">
        <f aca="false">E54*D54</f>
        <v>64.8597813953475</v>
      </c>
    </row>
    <row r="55" customFormat="false" ht="13.8" hidden="false" customHeight="false" outlineLevel="0" collapsed="false">
      <c r="A55" s="2" t="n">
        <v>2003</v>
      </c>
      <c r="B55" s="2" t="n">
        <v>2</v>
      </c>
      <c r="C55" s="2" t="n">
        <v>65.0259739679457</v>
      </c>
      <c r="D55" s="2" t="n">
        <v>43</v>
      </c>
      <c r="E55" s="2" t="n">
        <f aca="false">C99/C55</f>
        <v>1.52049537452477</v>
      </c>
      <c r="F55" s="2" t="n">
        <f aca="false">E55*D55</f>
        <v>65.3813011045653</v>
      </c>
    </row>
    <row r="56" customFormat="false" ht="13.8" hidden="false" customHeight="false" outlineLevel="0" collapsed="false">
      <c r="A56" s="2" t="n">
        <v>2003</v>
      </c>
      <c r="B56" s="2" t="n">
        <v>3</v>
      </c>
      <c r="C56" s="2" t="n">
        <v>65.0259739679457</v>
      </c>
      <c r="D56" s="2" t="n">
        <v>43</v>
      </c>
      <c r="E56" s="2" t="n">
        <f aca="false">C100/C56</f>
        <v>1.53273677354892</v>
      </c>
      <c r="F56" s="2" t="n">
        <f aca="false">E56*D56</f>
        <v>65.9076812626037</v>
      </c>
    </row>
    <row r="57" customFormat="false" ht="13.8" hidden="false" customHeight="false" outlineLevel="0" collapsed="false">
      <c r="A57" s="2" t="n">
        <v>2003</v>
      </c>
      <c r="B57" s="2" t="n">
        <v>4</v>
      </c>
      <c r="C57" s="2" t="n">
        <v>65.0259739679457</v>
      </c>
      <c r="D57" s="2" t="n">
        <v>43</v>
      </c>
      <c r="E57" s="2" t="n">
        <f aca="false">C101/C57</f>
        <v>1.54563466954319</v>
      </c>
      <c r="F57" s="2" t="n">
        <f aca="false">E57*D57</f>
        <v>66.4622907903573</v>
      </c>
    </row>
    <row r="58" customFormat="false" ht="13.8" hidden="false" customHeight="false" outlineLevel="0" collapsed="false">
      <c r="A58" s="2" t="n">
        <v>2004</v>
      </c>
      <c r="B58" s="2" t="n">
        <v>1</v>
      </c>
      <c r="C58" s="2" t="n">
        <v>66.7443033813257</v>
      </c>
      <c r="D58" s="2" t="n">
        <v>43</v>
      </c>
      <c r="E58" s="2" t="n">
        <f aca="false">C98/C58</f>
        <v>1.46953416104434</v>
      </c>
      <c r="F58" s="2" t="n">
        <f aca="false">E58*D58</f>
        <v>63.1899689249067</v>
      </c>
    </row>
    <row r="59" customFormat="false" ht="13.8" hidden="false" customHeight="false" outlineLevel="0" collapsed="false">
      <c r="A59" s="2" t="n">
        <v>2004</v>
      </c>
      <c r="B59" s="2" t="n">
        <v>2</v>
      </c>
      <c r="C59" s="2" t="n">
        <v>66.7443033813257</v>
      </c>
      <c r="D59" s="2" t="n">
        <v>43</v>
      </c>
      <c r="E59" s="2" t="n">
        <f aca="false">C99/C59</f>
        <v>1.48135028209603</v>
      </c>
      <c r="F59" s="2" t="n">
        <f aca="false">E59*D59</f>
        <v>63.6980621301293</v>
      </c>
    </row>
    <row r="60" customFormat="false" ht="13.8" hidden="false" customHeight="false" outlineLevel="0" collapsed="false">
      <c r="A60" s="2" t="n">
        <v>2004</v>
      </c>
      <c r="B60" s="2" t="n">
        <v>3</v>
      </c>
      <c r="C60" s="2" t="n">
        <v>66.7443033813257</v>
      </c>
      <c r="D60" s="2" t="n">
        <v>43</v>
      </c>
      <c r="E60" s="2" t="n">
        <f aca="false">C100/C60</f>
        <v>1.49327652679332</v>
      </c>
      <c r="F60" s="2" t="n">
        <f aca="false">E60*D60</f>
        <v>64.2108906521126</v>
      </c>
    </row>
    <row r="61" customFormat="false" ht="13.8" hidden="false" customHeight="false" outlineLevel="0" collapsed="false">
      <c r="A61" s="2" t="n">
        <v>2004</v>
      </c>
      <c r="B61" s="2" t="n">
        <v>4</v>
      </c>
      <c r="C61" s="2" t="n">
        <v>66.7443033813257</v>
      </c>
      <c r="D61" s="2" t="n">
        <v>43</v>
      </c>
      <c r="E61" s="2" t="n">
        <f aca="false">C101/C61</f>
        <v>1.50584236697256</v>
      </c>
      <c r="F61" s="2" t="n">
        <f aca="false">E61*D61</f>
        <v>64.75122177982</v>
      </c>
    </row>
    <row r="62" customFormat="false" ht="13.8" hidden="false" customHeight="false" outlineLevel="0" collapsed="false">
      <c r="A62" s="2" t="n">
        <v>2005</v>
      </c>
      <c r="B62" s="2" t="n">
        <v>1</v>
      </c>
      <c r="C62" s="2" t="n">
        <v>67.3028014012988</v>
      </c>
      <c r="D62" s="2" t="n">
        <v>43</v>
      </c>
      <c r="E62" s="2" t="n">
        <f aca="false">C98/C62</f>
        <v>1.45733954355238</v>
      </c>
      <c r="F62" s="2" t="n">
        <f aca="false">E62*D62</f>
        <v>62.6656003727525</v>
      </c>
    </row>
    <row r="63" customFormat="false" ht="13.8" hidden="false" customHeight="false" outlineLevel="0" collapsed="false">
      <c r="A63" s="2" t="n">
        <v>2005</v>
      </c>
      <c r="B63" s="2" t="n">
        <v>2</v>
      </c>
      <c r="C63" s="2" t="n">
        <v>68.142548825198</v>
      </c>
      <c r="D63" s="2" t="n">
        <v>43</v>
      </c>
      <c r="E63" s="2" t="n">
        <f aca="false">C99/C63</f>
        <v>1.45095383643279</v>
      </c>
      <c r="F63" s="2" t="n">
        <f aca="false">E63*D63</f>
        <v>62.39101496661</v>
      </c>
    </row>
    <row r="64" customFormat="false" ht="13.8" hidden="false" customHeight="false" outlineLevel="0" collapsed="false">
      <c r="A64" s="2" t="n">
        <v>2005</v>
      </c>
      <c r="B64" s="2" t="n">
        <v>3</v>
      </c>
      <c r="C64" s="2" t="n">
        <v>68.2043817251393</v>
      </c>
      <c r="D64" s="2" t="n">
        <v>43</v>
      </c>
      <c r="E64" s="2" t="n">
        <f aca="false">C100/C64</f>
        <v>1.46130936188472</v>
      </c>
      <c r="F64" s="2" t="n">
        <f aca="false">E64*D64</f>
        <v>62.8363025610431</v>
      </c>
    </row>
    <row r="65" customFormat="false" ht="13.8" hidden="false" customHeight="false" outlineLevel="0" collapsed="false">
      <c r="A65" s="2" t="n">
        <v>2005</v>
      </c>
      <c r="B65" s="2" t="n">
        <v>4</v>
      </c>
      <c r="C65" s="2" t="n">
        <v>68.8812682870698</v>
      </c>
      <c r="D65" s="2" t="n">
        <v>43</v>
      </c>
      <c r="E65" s="2" t="n">
        <f aca="false">C101/C65</f>
        <v>1.45912527868679</v>
      </c>
      <c r="F65" s="2" t="n">
        <f aca="false">E65*D65</f>
        <v>62.7423869835318</v>
      </c>
    </row>
    <row r="66" customFormat="false" ht="13.8" hidden="false" customHeight="false" outlineLevel="0" collapsed="false">
      <c r="A66" s="2" t="n">
        <v>2006</v>
      </c>
      <c r="B66" s="2" t="n">
        <v>1</v>
      </c>
      <c r="C66" s="2" t="n">
        <v>69.8660282124394</v>
      </c>
      <c r="D66" s="2" t="n">
        <v>56.6</v>
      </c>
      <c r="E66" s="2" t="n">
        <f aca="false">C98/C66</f>
        <v>1.40387304650735</v>
      </c>
      <c r="F66" s="2" t="n">
        <f aca="false">E66*D66</f>
        <v>79.4592144323158</v>
      </c>
    </row>
    <row r="67" customFormat="false" ht="13.8" hidden="false" customHeight="false" outlineLevel="0" collapsed="false">
      <c r="A67" s="2" t="n">
        <v>2006</v>
      </c>
      <c r="B67" s="2" t="n">
        <v>2</v>
      </c>
      <c r="C67" s="2" t="n">
        <v>70.262819184092</v>
      </c>
      <c r="D67" s="2" t="n">
        <v>56.6</v>
      </c>
      <c r="E67" s="2" t="n">
        <f aca="false">C99/C67</f>
        <v>1.40716945022062</v>
      </c>
      <c r="F67" s="2" t="n">
        <f aca="false">E67*D67</f>
        <v>79.6457908824873</v>
      </c>
    </row>
    <row r="68" customFormat="false" ht="13.8" hidden="false" customHeight="false" outlineLevel="0" collapsed="false">
      <c r="A68" s="2" t="n">
        <v>2006</v>
      </c>
      <c r="B68" s="2" t="n">
        <v>3</v>
      </c>
      <c r="C68" s="2" t="n">
        <v>70.3781526684495</v>
      </c>
      <c r="D68" s="2" t="n">
        <v>56.6</v>
      </c>
      <c r="E68" s="2" t="n">
        <f aca="false">C100/C68</f>
        <v>1.41617388006813</v>
      </c>
      <c r="F68" s="2" t="n">
        <f aca="false">E68*D68</f>
        <v>80.1554416118562</v>
      </c>
    </row>
    <row r="69" customFormat="false" ht="13.8" hidden="false" customHeight="false" outlineLevel="0" collapsed="false">
      <c r="A69" s="2" t="n">
        <v>2006</v>
      </c>
      <c r="B69" s="2" t="n">
        <v>4</v>
      </c>
      <c r="C69" s="2" t="n">
        <v>71.0141123541591</v>
      </c>
      <c r="D69" s="2" t="n">
        <v>56.6</v>
      </c>
      <c r="E69" s="2" t="n">
        <f aca="false">C101/C69</f>
        <v>1.41530178233346</v>
      </c>
      <c r="F69" s="2" t="n">
        <f aca="false">E69*D69</f>
        <v>80.1060808800739</v>
      </c>
    </row>
    <row r="70" customFormat="false" ht="13.8" hidden="false" customHeight="false" outlineLevel="0" collapsed="false">
      <c r="A70" s="2" t="n">
        <v>2007</v>
      </c>
      <c r="B70" s="2" t="n">
        <v>1</v>
      </c>
      <c r="C70" s="2" t="n">
        <v>71.3039474435275</v>
      </c>
      <c r="D70" s="19" t="n">
        <f aca="false">$D$69*(C69/AVERAGE($C$66:$C$69))</f>
        <v>57.1097311275349</v>
      </c>
      <c r="E70" s="2" t="n">
        <f aca="false">$C$98/C70</f>
        <v>1.37556246730445</v>
      </c>
      <c r="F70" s="2" t="n">
        <f aca="false">E70*D70</f>
        <v>78.5580026568857</v>
      </c>
      <c r="G70" s="2" t="s">
        <v>78</v>
      </c>
    </row>
    <row r="71" customFormat="false" ht="13.8" hidden="false" customHeight="false" outlineLevel="0" collapsed="false">
      <c r="A71" s="2" t="n">
        <v>2007</v>
      </c>
      <c r="B71" s="2" t="n">
        <v>2</v>
      </c>
      <c r="C71" s="2" t="n">
        <v>71.4653187847975</v>
      </c>
      <c r="D71" s="19" t="n">
        <f aca="false">$D$69*(C70/AVERAGE($C$66:$C$69))</f>
        <v>57.3428172491019</v>
      </c>
      <c r="E71" s="2" t="n">
        <f aca="false">$C$99/C71</f>
        <v>1.38349194159423</v>
      </c>
      <c r="F71" s="2" t="n">
        <f aca="false">E71*D71</f>
        <v>79.3333255724429</v>
      </c>
    </row>
    <row r="72" customFormat="false" ht="13.8" hidden="false" customHeight="false" outlineLevel="0" collapsed="false">
      <c r="A72" s="2" t="n">
        <v>2007</v>
      </c>
      <c r="B72" s="2" t="n">
        <v>3</v>
      </c>
      <c r="C72" s="2" t="n">
        <v>72.1618914219933</v>
      </c>
      <c r="D72" s="19" t="n">
        <f aca="false">$D$69*(C71/AVERAGE($C$66:$C$69))</f>
        <v>57.4725924952623</v>
      </c>
      <c r="E72" s="2" t="n">
        <f aca="false">$C$100/C72</f>
        <v>1.38116808709547</v>
      </c>
      <c r="F72" s="2" t="n">
        <f aca="false">E72*D72</f>
        <v>79.3793106370988</v>
      </c>
    </row>
    <row r="73" customFormat="false" ht="13.8" hidden="false" customHeight="false" outlineLevel="0" collapsed="false">
      <c r="A73" s="2" t="n">
        <v>2007</v>
      </c>
      <c r="B73" s="2" t="n">
        <v>4</v>
      </c>
      <c r="C73" s="2" t="n">
        <v>72.9978954822526</v>
      </c>
      <c r="D73" s="19" t="n">
        <f aca="false">$D$69*(C72/AVERAGE($C$66:$C$69))</f>
        <v>58.0327779950494</v>
      </c>
      <c r="E73" s="2" t="n">
        <f aca="false">$C$101/C73</f>
        <v>1.37683968998949</v>
      </c>
      <c r="F73" s="2" t="n">
        <f aca="false">E73*D73</f>
        <v>79.9018320639328</v>
      </c>
    </row>
    <row r="74" customFormat="false" ht="13.8" hidden="false" customHeight="false" outlineLevel="0" collapsed="false">
      <c r="A74" s="2" t="n">
        <v>2008</v>
      </c>
      <c r="B74" s="2" t="n">
        <v>1</v>
      </c>
      <c r="C74" s="2" t="n">
        <v>75.0712622958227</v>
      </c>
      <c r="D74" s="19" t="n">
        <f aca="false">$D$69*(C73/AVERAGE($C$66:$C$69))</f>
        <v>58.7050946025545</v>
      </c>
      <c r="E74" s="2" t="n">
        <f aca="false">$C$98/C74</f>
        <v>1.30653236504088</v>
      </c>
      <c r="F74" s="2" t="n">
        <f aca="false">E74*D74</f>
        <v>76.7001060910241</v>
      </c>
    </row>
    <row r="75" customFormat="false" ht="13.8" hidden="false" customHeight="false" outlineLevel="0" collapsed="false">
      <c r="A75" s="2" t="n">
        <v>2008</v>
      </c>
      <c r="B75" s="2" t="n">
        <v>2</v>
      </c>
      <c r="C75" s="2" t="n">
        <v>77.935062259733</v>
      </c>
      <c r="D75" s="19" t="n">
        <f aca="false">$D$69*(C74/AVERAGE($C$66:$C$69))</f>
        <v>60.3725015069908</v>
      </c>
      <c r="E75" s="2" t="n">
        <f aca="false">$C$99/C75</f>
        <v>1.26864199213342</v>
      </c>
      <c r="F75" s="2" t="n">
        <f aca="false">E75*D75</f>
        <v>76.5910905819068</v>
      </c>
    </row>
    <row r="76" customFormat="false" ht="13.8" hidden="false" customHeight="false" outlineLevel="0" collapsed="false">
      <c r="A76" s="2" t="n">
        <v>2008</v>
      </c>
      <c r="B76" s="2" t="n">
        <v>3</v>
      </c>
      <c r="C76" s="2" t="n">
        <v>79.3440054454324</v>
      </c>
      <c r="D76" s="19" t="n">
        <f aca="false">$D$69*(C75/AVERAGE($C$66:$C$69))</f>
        <v>62.6755767764007</v>
      </c>
      <c r="E76" s="2" t="n">
        <f aca="false">$C$100/C76</f>
        <v>1.25614658570584</v>
      </c>
      <c r="F76" s="2" t="n">
        <f aca="false">E76*D76</f>
        <v>78.72971177482</v>
      </c>
    </row>
    <row r="77" customFormat="false" ht="13.8" hidden="false" customHeight="false" outlineLevel="0" collapsed="false">
      <c r="A77" s="2" t="n">
        <v>2008</v>
      </c>
      <c r="B77" s="2" t="n">
        <v>4</v>
      </c>
      <c r="C77" s="2" t="n">
        <v>79.7650398334914</v>
      </c>
      <c r="D77" s="19" t="n">
        <f aca="false">$D$69*(C76/AVERAGE($C$66:$C$69))</f>
        <v>63.8086524967305</v>
      </c>
      <c r="E77" s="2" t="n">
        <f aca="false">$C$101/C77</f>
        <v>1.26003071013913</v>
      </c>
      <c r="F77" s="2" t="n">
        <f aca="false">E77*D77</f>
        <v>80.4008617184761</v>
      </c>
    </row>
    <row r="78" customFormat="false" ht="13.8" hidden="false" customHeight="false" outlineLevel="0" collapsed="false">
      <c r="A78" s="2" t="n">
        <v>2009</v>
      </c>
      <c r="B78" s="2" t="n">
        <v>1</v>
      </c>
      <c r="C78" s="2" t="n">
        <v>80.9867523690246</v>
      </c>
      <c r="D78" s="19" t="n">
        <f aca="false">$D$69*(C77/AVERAGE($C$66:$C$69))</f>
        <v>64.1472494305002</v>
      </c>
      <c r="E78" s="2" t="n">
        <f aca="false">$C$98/C78</f>
        <v>1.21109972933647</v>
      </c>
      <c r="F78" s="2" t="n">
        <f aca="false">E78*D78</f>
        <v>77.6887164229579</v>
      </c>
    </row>
    <row r="79" customFormat="false" ht="13.8" hidden="false" customHeight="false" outlineLevel="0" collapsed="false">
      <c r="A79" s="2" t="n">
        <v>2009</v>
      </c>
      <c r="B79" s="2" t="n">
        <v>2</v>
      </c>
      <c r="C79" s="2" t="n">
        <v>82.2092686539893</v>
      </c>
      <c r="D79" s="19" t="n">
        <f aca="false">$D$69*(C78/AVERAGE($C$66:$C$69))</f>
        <v>65.1297537821913</v>
      </c>
      <c r="E79" s="2" t="n">
        <f aca="false">$C$99/C79</f>
        <v>1.20268303393345</v>
      </c>
      <c r="F79" s="2" t="n">
        <f aca="false">E79*D79</f>
        <v>78.3304498781043</v>
      </c>
    </row>
    <row r="80" customFormat="false" ht="13.8" hidden="false" customHeight="false" outlineLevel="0" collapsed="false">
      <c r="A80" s="2" t="n">
        <v>2009</v>
      </c>
      <c r="B80" s="2" t="n">
        <v>3</v>
      </c>
      <c r="C80" s="2" t="n">
        <v>82.1127812983064</v>
      </c>
      <c r="D80" s="19" t="n">
        <f aca="false">$D$69*(C79/AVERAGE($C$66:$C$69))</f>
        <v>66.1129045112347</v>
      </c>
      <c r="E80" s="2" t="n">
        <f aca="false">$C$100/C80</f>
        <v>1.21379034981685</v>
      </c>
      <c r="F80" s="2" t="n">
        <f aca="false">E80*D80</f>
        <v>80.2472054940993</v>
      </c>
    </row>
    <row r="81" customFormat="false" ht="13.8" hidden="false" customHeight="false" outlineLevel="0" collapsed="false">
      <c r="A81" s="2" t="n">
        <v>2009</v>
      </c>
      <c r="B81" s="2" t="n">
        <v>4</v>
      </c>
      <c r="C81" s="2" t="n">
        <v>82.9116216304853</v>
      </c>
      <c r="D81" s="19" t="n">
        <f aca="false">$D$69*(C80/AVERAGE($C$66:$C$69))</f>
        <v>66.0353091325475</v>
      </c>
      <c r="E81" s="2" t="n">
        <f aca="false">$C$101/C81</f>
        <v>1.21221124143006</v>
      </c>
      <c r="F81" s="2" t="n">
        <f aca="false">E81*D81</f>
        <v>80.0487440617832</v>
      </c>
    </row>
    <row r="82" customFormat="false" ht="13.8" hidden="false" customHeight="false" outlineLevel="0" collapsed="false">
      <c r="A82" s="2" t="n">
        <v>2010</v>
      </c>
      <c r="B82" s="2" t="n">
        <v>1</v>
      </c>
      <c r="C82" s="2" t="n">
        <v>84.2506558899935</v>
      </c>
      <c r="D82" s="19" t="n">
        <f aca="false">$D$69*(C81/AVERAGE($C$66:$C$69))</f>
        <v>66.677738574699</v>
      </c>
      <c r="E82" s="2" t="n">
        <f aca="false">$C$98/C82</f>
        <v>1.16418124984134</v>
      </c>
      <c r="F82" s="2" t="n">
        <f aca="false">E82*D82</f>
        <v>77.6249730304874</v>
      </c>
    </row>
    <row r="83" customFormat="false" ht="13.8" hidden="false" customHeight="false" outlineLevel="0" collapsed="false">
      <c r="A83" s="2" t="n">
        <v>2010</v>
      </c>
      <c r="B83" s="2" t="n">
        <v>2</v>
      </c>
      <c r="C83" s="2" t="n">
        <v>84.8813514323926</v>
      </c>
      <c r="D83" s="19" t="n">
        <f aca="false">$D$69*(C82/AVERAGE($C$66:$C$69))</f>
        <v>67.7545933574455</v>
      </c>
      <c r="E83" s="2" t="n">
        <f aca="false">$C$99/C83</f>
        <v>1.16482231931687</v>
      </c>
      <c r="F83" s="2" t="n">
        <f aca="false">E83*D83</f>
        <v>78.922062578991</v>
      </c>
    </row>
    <row r="84" customFormat="false" ht="13.8" hidden="false" customHeight="false" outlineLevel="0" collapsed="false">
      <c r="A84" s="2" t="n">
        <v>2010</v>
      </c>
      <c r="B84" s="2" t="n">
        <v>3</v>
      </c>
      <c r="C84" s="2" t="n">
        <v>85.0305748011699</v>
      </c>
      <c r="D84" s="19" t="n">
        <f aca="false">$D$69*(C83/AVERAGE($C$66:$C$69))</f>
        <v>68.2618003287883</v>
      </c>
      <c r="E84" s="2" t="n">
        <f aca="false">$C$100/C84</f>
        <v>1.17213957179005</v>
      </c>
      <c r="F84" s="2" t="n">
        <f aca="false">E84*D84</f>
        <v>80.012357407004</v>
      </c>
    </row>
    <row r="85" customFormat="false" ht="13.8" hidden="false" customHeight="false" outlineLevel="0" collapsed="false">
      <c r="A85" s="2" t="n">
        <v>2010</v>
      </c>
      <c r="B85" s="2" t="n">
        <v>4</v>
      </c>
      <c r="C85" s="2" t="n">
        <v>85.7240342210823</v>
      </c>
      <c r="D85" s="19" t="n">
        <f aca="false">$D$69*(C84/AVERAGE($C$66:$C$69))</f>
        <v>68.381806144341</v>
      </c>
      <c r="E85" s="2" t="n">
        <f aca="false">$C$101/C85</f>
        <v>1.17244131939083</v>
      </c>
      <c r="F85" s="2" t="n">
        <f aca="false">E85*D85</f>
        <v>80.1736550181988</v>
      </c>
    </row>
    <row r="86" customFormat="false" ht="13.8" hidden="false" customHeight="false" outlineLevel="0" collapsed="false">
      <c r="A86" s="2" t="n">
        <v>2011</v>
      </c>
      <c r="B86" s="2" t="n">
        <v>1</v>
      </c>
      <c r="C86" s="2" t="n">
        <v>87.0981353694548</v>
      </c>
      <c r="D86" s="19" t="n">
        <f aca="false">$D$69*(C85/AVERAGE($C$66:$C$69))</f>
        <v>68.9394879868112</v>
      </c>
      <c r="E86" s="2" t="n">
        <f aca="false">$C$98/C86</f>
        <v>1.12612093769763</v>
      </c>
      <c r="F86" s="2" t="n">
        <f aca="false">E86*D86</f>
        <v>77.6342008561023</v>
      </c>
    </row>
    <row r="87" customFormat="false" ht="13.8" hidden="false" customHeight="false" outlineLevel="0" collapsed="false">
      <c r="A87" s="2" t="n">
        <v>2011</v>
      </c>
      <c r="B87" s="2" t="n">
        <v>2</v>
      </c>
      <c r="C87" s="2" t="n">
        <v>88.3864196428003</v>
      </c>
      <c r="D87" s="19" t="n">
        <f aca="false">$D$69*(C86/AVERAGE($C$66:$C$69))</f>
        <v>70.0445436514406</v>
      </c>
      <c r="E87" s="2" t="n">
        <f aca="false">$C$99/C87</f>
        <v>1.11862990990928</v>
      </c>
      <c r="F87" s="2" t="n">
        <f aca="false">E87*D87</f>
        <v>78.3539215544479</v>
      </c>
    </row>
    <row r="88" customFormat="false" ht="13.8" hidden="false" customHeight="false" outlineLevel="0" collapsed="false">
      <c r="A88" s="2" t="n">
        <v>2011</v>
      </c>
      <c r="B88" s="2" t="n">
        <v>3</v>
      </c>
      <c r="C88" s="2" t="n">
        <v>89.1892962435327</v>
      </c>
      <c r="D88" s="19" t="n">
        <f aca="false">$D$69*(C87/AVERAGE($C$66:$C$69))</f>
        <v>71.0805851652691</v>
      </c>
      <c r="E88" s="2" t="n">
        <f aca="false">$C$100/C88</f>
        <v>1.11748500923655</v>
      </c>
      <c r="F88" s="2" t="n">
        <f aca="false">E88*D88</f>
        <v>79.4314883699501</v>
      </c>
    </row>
    <row r="89" customFormat="false" ht="13.8" hidden="false" customHeight="false" outlineLevel="0" collapsed="false">
      <c r="A89" s="2" t="n">
        <v>2011</v>
      </c>
      <c r="B89" s="2" t="n">
        <v>4</v>
      </c>
      <c r="C89" s="2" t="n">
        <v>90.421102737221</v>
      </c>
      <c r="D89" s="19" t="n">
        <f aca="false">$D$69*(C88/AVERAGE($C$66:$C$69))</f>
        <v>71.7262605849343</v>
      </c>
      <c r="E89" s="2" t="n">
        <f aca="false">$C$101/C89</f>
        <v>1.11153698354861</v>
      </c>
      <c r="F89" s="2" t="n">
        <f aca="false">E89*D89</f>
        <v>79.7263913317997</v>
      </c>
    </row>
    <row r="90" customFormat="false" ht="13.8" hidden="false" customHeight="false" outlineLevel="0" collapsed="false">
      <c r="A90" s="2" t="n">
        <v>2012</v>
      </c>
      <c r="B90" s="2" t="n">
        <v>1</v>
      </c>
      <c r="C90" s="2" t="n">
        <v>92.0160074979537</v>
      </c>
      <c r="D90" s="19" t="n">
        <f aca="false">$D$69*(C89/AVERAGE($C$66:$C$69))</f>
        <v>72.7168825236392</v>
      </c>
      <c r="E90" s="2" t="n">
        <f aca="false">$C$98/C90</f>
        <v>1.06593446663231</v>
      </c>
      <c r="F90" s="2" t="n">
        <f aca="false">E90*D90</f>
        <v>77.5114313879994</v>
      </c>
    </row>
    <row r="91" customFormat="false" ht="13.8" hidden="false" customHeight="false" outlineLevel="0" collapsed="false">
      <c r="A91" s="2" t="n">
        <v>2012</v>
      </c>
      <c r="B91" s="2" t="n">
        <v>2</v>
      </c>
      <c r="C91" s="2" t="n">
        <v>92.8854790448768</v>
      </c>
      <c r="D91" s="19" t="n">
        <f aca="false">$D$69*(C90/AVERAGE($C$66:$C$69))</f>
        <v>73.9995090191338</v>
      </c>
      <c r="E91" s="2" t="n">
        <f aca="false">$C$99/C91</f>
        <v>1.0644472490093</v>
      </c>
      <c r="F91" s="2" t="n">
        <f aca="false">E91*D91</f>
        <v>78.7685738034556</v>
      </c>
    </row>
    <row r="92" customFormat="false" ht="13.8" hidden="false" customHeight="false" outlineLevel="0" collapsed="false">
      <c r="A92" s="2" t="n">
        <v>2012</v>
      </c>
      <c r="B92" s="2" t="n">
        <v>3</v>
      </c>
      <c r="C92" s="2" t="n">
        <v>93.7051846964094</v>
      </c>
      <c r="D92" s="19" t="n">
        <f aca="false">$D$69*(C91/AVERAGE($C$66:$C$69))</f>
        <v>74.6987402651737</v>
      </c>
      <c r="E92" s="2" t="n">
        <f aca="false">$C$100/C92</f>
        <v>1.06363059695591</v>
      </c>
      <c r="F92" s="2" t="n">
        <f aca="false">E92*D92</f>
        <v>79.4518657001009</v>
      </c>
    </row>
    <row r="93" customFormat="false" ht="13.8" hidden="false" customHeight="false" outlineLevel="0" collapsed="false">
      <c r="A93" s="2" t="n">
        <v>2012</v>
      </c>
      <c r="B93" s="2" t="n">
        <v>4</v>
      </c>
      <c r="C93" s="2" t="n">
        <v>94.604239466372</v>
      </c>
      <c r="D93" s="19" t="n">
        <f aca="false">$D$69*(C92/AVERAGE($C$66:$C$69))</f>
        <v>75.3579496506165</v>
      </c>
      <c r="E93" s="2" t="n">
        <f aca="false">$C$101/C93</f>
        <v>1.06238790515721</v>
      </c>
      <c r="F93" s="2" t="n">
        <f aca="false">E93*D93</f>
        <v>80.059374266261</v>
      </c>
    </row>
    <row r="94" customFormat="false" ht="13.8" hidden="false" customHeight="false" outlineLevel="0" collapsed="false">
      <c r="A94" s="2" t="n">
        <v>2013</v>
      </c>
      <c r="B94" s="2" t="n">
        <v>1</v>
      </c>
      <c r="C94" s="2" t="n">
        <v>95.2622604561851</v>
      </c>
      <c r="D94" s="19" t="n">
        <f aca="false">$D$69*(C93/AVERAGE($C$66:$C$69))</f>
        <v>76.0809718004312</v>
      </c>
      <c r="E94" s="2" t="n">
        <f aca="false">$C$98/C94</f>
        <v>1.02961060764538</v>
      </c>
      <c r="F94" s="2" t="n">
        <f aca="false">E94*D94</f>
        <v>78.3337756056933</v>
      </c>
    </row>
    <row r="95" customFormat="false" ht="13.8" hidden="false" customHeight="false" outlineLevel="0" collapsed="false">
      <c r="A95" s="2" t="n">
        <v>2013</v>
      </c>
      <c r="B95" s="2" t="n">
        <v>2</v>
      </c>
      <c r="C95" s="2" t="n">
        <v>95.5848114857496</v>
      </c>
      <c r="D95" s="19" t="n">
        <f aca="false">$D$69*(C94/AVERAGE($C$66:$C$69))</f>
        <v>76.6101539666053</v>
      </c>
      <c r="E95" s="2" t="n">
        <f aca="false">$C$99/C95</f>
        <v>1.03438706532335</v>
      </c>
      <c r="F95" s="2" t="n">
        <f aca="false">E95*D95</f>
        <v>79.2445523354866</v>
      </c>
    </row>
    <row r="96" customFormat="false" ht="13.8" hidden="false" customHeight="false" outlineLevel="0" collapsed="false">
      <c r="A96" s="2" t="n">
        <v>2013</v>
      </c>
      <c r="B96" s="2" t="n">
        <v>3</v>
      </c>
      <c r="C96" s="2" t="n">
        <v>95.696521940927</v>
      </c>
      <c r="D96" s="19" t="n">
        <f aca="false">$D$69*(C95/AVERAGE($C$66:$C$69))</f>
        <v>76.869550331112</v>
      </c>
      <c r="E96" s="2" t="n">
        <f aca="false">$C$100/C96</f>
        <v>1.04149763768875</v>
      </c>
      <c r="F96" s="2" t="n">
        <f aca="false">E96*D96</f>
        <v>80.0594550800498</v>
      </c>
    </row>
    <row r="97" customFormat="false" ht="13.8" hidden="false" customHeight="false" outlineLevel="0" collapsed="false">
      <c r="A97" s="2" t="n">
        <v>2013</v>
      </c>
      <c r="B97" s="2" t="n">
        <v>4</v>
      </c>
      <c r="C97" s="2" t="n">
        <v>96.8252809878436</v>
      </c>
      <c r="D97" s="19" t="n">
        <f aca="false">$D$69*(C96/AVERAGE($C$66:$C$69))</f>
        <v>76.9593881654216</v>
      </c>
      <c r="E97" s="2" t="n">
        <f aca="false">$C$101/C97</f>
        <v>1.03801815765749</v>
      </c>
      <c r="F97" s="2" t="n">
        <f aca="false">E97*D97</f>
        <v>79.8852423179184</v>
      </c>
    </row>
    <row r="98" customFormat="false" ht="13.8" hidden="false" customHeight="false" outlineLevel="0" collapsed="false">
      <c r="A98" s="2" t="n">
        <v>2014</v>
      </c>
      <c r="B98" s="2" t="n">
        <v>1</v>
      </c>
      <c r="C98" s="2" t="n">
        <v>98.0830338739655</v>
      </c>
      <c r="D98" s="19" t="n">
        <f aca="false">$D$69*(C97/AVERAGE($C$66:$C$69))</f>
        <v>77.8671390833756</v>
      </c>
      <c r="E98" s="2" t="n">
        <f aca="false">$C$98/C98</f>
        <v>1</v>
      </c>
      <c r="F98" s="2" t="n">
        <f aca="false">E98*D98</f>
        <v>77.8671390833756</v>
      </c>
    </row>
    <row r="99" customFormat="false" ht="13.8" hidden="false" customHeight="false" outlineLevel="0" collapsed="false">
      <c r="A99" s="2" t="n">
        <v>2014</v>
      </c>
      <c r="B99" s="2" t="n">
        <v>2</v>
      </c>
      <c r="C99" s="2" t="n">
        <v>98.8716926422298</v>
      </c>
      <c r="D99" s="19" t="n">
        <f aca="false">$D$69*(C98/AVERAGE($C$66:$C$69))</f>
        <v>78.8786271773628</v>
      </c>
      <c r="E99" s="2" t="n">
        <f aca="false">$C$99/C99</f>
        <v>1</v>
      </c>
      <c r="F99" s="2" t="n">
        <f aca="false">E99*D99</f>
        <v>78.8786271773628</v>
      </c>
    </row>
    <row r="100" customFormat="false" ht="13.8" hidden="false" customHeight="false" outlineLevel="0" collapsed="false">
      <c r="A100" s="2" t="n">
        <v>2014</v>
      </c>
      <c r="B100" s="2" t="n">
        <v>3</v>
      </c>
      <c r="C100" s="2" t="n">
        <v>99.6677015365054</v>
      </c>
      <c r="D100" s="19" t="n">
        <f aca="false">$D$69*(C99/AVERAGE($C$66:$C$69))</f>
        <v>79.5128685797242</v>
      </c>
      <c r="E100" s="2" t="n">
        <f aca="false">$C$100/C100</f>
        <v>1</v>
      </c>
      <c r="F100" s="2" t="n">
        <f aca="false">E100*D100</f>
        <v>79.5128685797242</v>
      </c>
    </row>
    <row r="101" customFormat="false" ht="13.8" hidden="false" customHeight="false" outlineLevel="0" collapsed="false">
      <c r="A101" s="2" t="n">
        <v>2014</v>
      </c>
      <c r="B101" s="2" t="n">
        <v>4</v>
      </c>
      <c r="C101" s="2" t="n">
        <v>100.50639978567</v>
      </c>
      <c r="D101" s="19" t="n">
        <f aca="false">$D$69*(C100/AVERAGE($C$66:$C$69))</f>
        <v>80.1530209722584</v>
      </c>
      <c r="E101" s="2" t="n">
        <f aca="false">$C$101/C101</f>
        <v>1</v>
      </c>
      <c r="F101" s="2" t="n">
        <f aca="false">E101*D101</f>
        <v>80.1530209722584</v>
      </c>
    </row>
    <row r="102" customFormat="false" ht="13.8" hidden="false" customHeight="false" outlineLevel="0" collapsed="false">
      <c r="A102" s="2" t="n">
        <v>2015</v>
      </c>
      <c r="B102" s="2" t="n">
        <v>1</v>
      </c>
      <c r="C102" s="2" t="n">
        <v>101.792035498233</v>
      </c>
      <c r="D102" s="19" t="n">
        <f aca="false">$D$69*(C101/AVERAGE($C$66:$C$69))</f>
        <v>80.8275042533849</v>
      </c>
      <c r="E102" s="2" t="n">
        <f aca="false">$C$98/C102</f>
        <v>0.963562948651991</v>
      </c>
      <c r="F102" s="2" t="n">
        <f aca="false">E102*D102</f>
        <v>77.8823883305729</v>
      </c>
    </row>
    <row r="103" customFormat="false" ht="13.8" hidden="false" customHeight="false" outlineLevel="0" collapsed="false">
      <c r="A103" s="2" t="n">
        <v>2015</v>
      </c>
      <c r="B103" s="2" t="n">
        <v>2</v>
      </c>
      <c r="C103" s="2" t="n">
        <v>103.398353744992</v>
      </c>
      <c r="D103" s="19" t="n">
        <f aca="false">$D$69*(C102/AVERAGE($C$66:$C$69))</f>
        <v>81.8614157878453</v>
      </c>
      <c r="E103" s="2" t="n">
        <f aca="false">$C$99/C103</f>
        <v>0.956221149188447</v>
      </c>
      <c r="F103" s="2" t="n">
        <f aca="false">E103*D103</f>
        <v>78.2776170788467</v>
      </c>
    </row>
    <row r="104" customFormat="false" ht="13.8" hidden="false" customHeight="false" outlineLevel="0" collapsed="false">
      <c r="A104" s="2" t="n">
        <v>2015</v>
      </c>
      <c r="B104" s="2" t="n">
        <v>3</v>
      </c>
      <c r="C104" s="2" t="n">
        <v>103.747915389501</v>
      </c>
      <c r="D104" s="19" t="n">
        <f aca="false">$D$69*(C103/AVERAGE($C$66:$C$69))</f>
        <v>83.153221038049</v>
      </c>
      <c r="E104" s="2" t="n">
        <f aca="false">$C$100/C104</f>
        <v>0.960671847355417</v>
      </c>
      <c r="F104" s="2" t="n">
        <f aca="false">E104*D104</f>
        <v>79.8829584681759</v>
      </c>
    </row>
    <row r="105" customFormat="false" ht="13.8" hidden="false" customHeight="false" outlineLevel="0" collapsed="false">
      <c r="A105" s="2" t="n">
        <v>2015</v>
      </c>
      <c r="B105" s="2" t="n">
        <v>4</v>
      </c>
      <c r="C105" s="2" t="n">
        <v>103.943218893479</v>
      </c>
      <c r="D105" s="19" t="n">
        <f aca="false">$D$69*(C104/AVERAGE($C$66:$C$69))</f>
        <v>83.4343394083083</v>
      </c>
      <c r="E105" s="2" t="n">
        <f aca="false">$C$101/C105</f>
        <v>0.966935610187991</v>
      </c>
      <c r="F105" s="2" t="n">
        <f aca="false">E105*D105</f>
        <v>80.6756338864045</v>
      </c>
    </row>
    <row r="106" customFormat="false" ht="13.8" hidden="false" customHeight="false" outlineLevel="0" collapsed="false">
      <c r="A106" s="2" t="n">
        <v>2016</v>
      </c>
      <c r="B106" s="2" t="n">
        <v>1</v>
      </c>
      <c r="C106" s="2" t="n">
        <v>104.510220432656</v>
      </c>
      <c r="D106" s="19" t="n">
        <f aca="false">$D$69*(C105/AVERAGE($C$66:$C$69))</f>
        <v>83.5914029866689</v>
      </c>
      <c r="E106" s="2" t="n">
        <f aca="false">$C$98/C106</f>
        <v>0.938501837120973</v>
      </c>
      <c r="F106" s="2" t="n">
        <f aca="false">E106*D106</f>
        <v>78.4506852705083</v>
      </c>
    </row>
    <row r="107" customFormat="false" ht="13.8" hidden="false" customHeight="false" outlineLevel="0" collapsed="false">
      <c r="A107" s="2" t="n">
        <v>2016</v>
      </c>
      <c r="B107" s="2" t="n">
        <v>2</v>
      </c>
      <c r="C107" s="2" t="n">
        <v>105.122414972079</v>
      </c>
      <c r="D107" s="19" t="n">
        <f aca="false">$D$69*(C106/AVERAGE($C$66:$C$69))</f>
        <v>84.0473870774058</v>
      </c>
      <c r="E107" s="2" t="n">
        <f aca="false">$C$99/C107</f>
        <v>0.940538634586074</v>
      </c>
      <c r="F107" s="2" t="n">
        <f aca="false">E107*D107</f>
        <v>79.0498146823104</v>
      </c>
    </row>
    <row r="108" customFormat="false" ht="13.8" hidden="false" customHeight="false" outlineLevel="0" collapsed="false">
      <c r="A108" s="2" t="n">
        <v>2016</v>
      </c>
      <c r="B108" s="2" t="n">
        <v>3</v>
      </c>
      <c r="C108" s="2" t="n">
        <v>105.233930063504</v>
      </c>
      <c r="D108" s="19" t="n">
        <f aca="false">$D$69*(C107/AVERAGE($C$66:$C$69))</f>
        <v>84.5397154947467</v>
      </c>
      <c r="E108" s="2" t="n">
        <f aca="false">$C$100/C108</f>
        <v>0.947106142252412</v>
      </c>
      <c r="F108" s="2" t="n">
        <f aca="false">E108*D108</f>
        <v>80.068083809346</v>
      </c>
    </row>
    <row r="109" customFormat="false" ht="13.8" hidden="false" customHeight="false" outlineLevel="0" collapsed="false">
      <c r="A109" s="2" t="n">
        <v>2016</v>
      </c>
      <c r="B109" s="2" t="n">
        <v>4</v>
      </c>
      <c r="C109" s="2" t="n">
        <v>105.150643406274</v>
      </c>
      <c r="D109" s="19" t="n">
        <f aca="false">$D$69*(C108/AVERAGE($C$66:$C$69))</f>
        <v>84.629396217026</v>
      </c>
      <c r="E109" s="2" t="n">
        <f aca="false">$C$101/C109</f>
        <v>0.955832475483199</v>
      </c>
      <c r="F109" s="2" t="n">
        <f aca="false">E109*D109</f>
        <v>80.8915252847684</v>
      </c>
    </row>
    <row r="110" customFormat="false" ht="13.8" hidden="false" customHeight="false" outlineLevel="0" collapsed="false">
      <c r="A110" s="2" t="n">
        <v>2017</v>
      </c>
      <c r="B110" s="2" t="n">
        <v>1</v>
      </c>
      <c r="C110" s="2" t="n">
        <v>105.490887074215</v>
      </c>
      <c r="D110" s="19" t="n">
        <f aca="false">$D$69*(C109/AVERAGE($C$66:$C$69))</f>
        <v>84.5624168738611</v>
      </c>
      <c r="E110" s="2" t="n">
        <f aca="false">$C$98/C110</f>
        <v>0.92977731626204</v>
      </c>
      <c r="F110" s="2" t="n">
        <f aca="false">E110*D110</f>
        <v>78.6242170176104</v>
      </c>
    </row>
    <row r="111" customFormat="false" ht="13.8" hidden="false" customHeight="false" outlineLevel="0" collapsed="false">
      <c r="A111" s="2" t="n">
        <v>2017</v>
      </c>
      <c r="B111" s="2" t="n">
        <v>2</v>
      </c>
      <c r="C111" s="2" t="n">
        <v>105.944904403107</v>
      </c>
      <c r="D111" s="19" t="n">
        <f aca="false">$D$69*(C110/AVERAGE($C$66:$C$69))</f>
        <v>84.8360417034872</v>
      </c>
      <c r="E111" s="2" t="n">
        <f aca="false">$C$99/C111</f>
        <v>0.933236885712176</v>
      </c>
      <c r="F111" s="2" t="n">
        <f aca="false">E111*D111</f>
        <v>79.1721233555107</v>
      </c>
    </row>
    <row r="112" customFormat="false" ht="13.8" hidden="false" customHeight="false" outlineLevel="0" collapsed="false">
      <c r="A112" s="2" t="n">
        <v>2017</v>
      </c>
      <c r="B112" s="2" t="n">
        <v>3</v>
      </c>
      <c r="C112" s="2" t="n">
        <v>105.358947026948</v>
      </c>
      <c r="D112" s="19" t="n">
        <f aca="false">$D$69*(C111/AVERAGE($C$66:$C$69))</f>
        <v>85.201163602793</v>
      </c>
      <c r="E112" s="2" t="n">
        <f aca="false">$C$100/C112</f>
        <v>0.945982323750949</v>
      </c>
      <c r="F112" s="2" t="n">
        <f aca="false">E112*D112</f>
        <v>80.5987947312549</v>
      </c>
    </row>
    <row r="113" customFormat="false" ht="13.8" hidden="false" customHeight="false" outlineLevel="0" collapsed="false">
      <c r="A113" s="2" t="n">
        <v>2017</v>
      </c>
      <c r="B113" s="2" t="n">
        <v>4</v>
      </c>
      <c r="C113" s="2" t="n">
        <v>104.974437995069</v>
      </c>
      <c r="D113" s="19" t="n">
        <f aca="false">$D$69*(C112/AVERAGE($C$66:$C$69))</f>
        <v>84.7299351793812</v>
      </c>
      <c r="E113" s="2" t="n">
        <f aca="false">$C$101/C113</f>
        <v>0.957436893259587</v>
      </c>
      <c r="F113" s="2" t="n">
        <f aca="false">E113*D113</f>
        <v>81.123565904233</v>
      </c>
    </row>
    <row r="114" customFormat="false" ht="13.8" hidden="false" customHeight="false" outlineLevel="0" collapsed="false">
      <c r="A114" s="2" t="n">
        <v>2018</v>
      </c>
      <c r="B114" s="2" t="n">
        <v>1</v>
      </c>
      <c r="C114" s="2" t="n">
        <v>105.333840858986</v>
      </c>
      <c r="D114" s="19" t="n">
        <f aca="false">$D$69*(C113/AVERAGE($C$66:$C$69))</f>
        <v>84.420712030647</v>
      </c>
      <c r="E114" s="2" t="n">
        <f aca="false">$C$98/C114</f>
        <v>0.931163556499118</v>
      </c>
      <c r="F114" s="2" t="n">
        <f aca="false">E114*D114</f>
        <v>78.6094904566452</v>
      </c>
    </row>
    <row r="115" customFormat="false" ht="13.8" hidden="false" customHeight="false" outlineLevel="0" collapsed="false">
      <c r="A115" s="2" t="n">
        <v>2018</v>
      </c>
      <c r="B115" s="2" t="n">
        <v>2</v>
      </c>
      <c r="C115" s="2" t="n">
        <v>105.061626274654</v>
      </c>
      <c r="D115" s="19" t="n">
        <f aca="false">$D$69*(C114/AVERAGE($C$66:$C$69))</f>
        <v>84.7097447347721</v>
      </c>
      <c r="E115" s="2" t="n">
        <f aca="false">$C$99/C115</f>
        <v>0.941082830602276</v>
      </c>
      <c r="F115" s="2" t="n">
        <f aca="false">E115*D115</f>
        <v>79.7188863545955</v>
      </c>
    </row>
    <row r="116" customFormat="false" ht="13.8" hidden="false" customHeight="false" outlineLevel="0" collapsed="false">
      <c r="A116" s="2" t="n">
        <v>2018</v>
      </c>
      <c r="B116" s="2" t="n">
        <v>3</v>
      </c>
      <c r="C116" s="2" t="n">
        <v>105.12664933991</v>
      </c>
      <c r="D116" s="19" t="n">
        <f aca="false">$D$69*(C115/AVERAGE($C$66:$C$69))</f>
        <v>84.4908290685076</v>
      </c>
      <c r="E116" s="2" t="n">
        <f aca="false">$C$100/C116</f>
        <v>0.94807265486267</v>
      </c>
      <c r="F116" s="2" t="n">
        <f aca="false">E116*D116</f>
        <v>80.1034446265281</v>
      </c>
    </row>
    <row r="117" customFormat="false" ht="13.8" hidden="false" customHeight="false" outlineLevel="0" collapsed="false">
      <c r="A117" s="2" t="n">
        <v>2018</v>
      </c>
      <c r="B117" s="2" t="n">
        <v>4</v>
      </c>
      <c r="C117" s="2" t="n">
        <v>105.30277322938</v>
      </c>
      <c r="D117" s="19" t="n">
        <f aca="false">$D$69*(C116/AVERAGE($C$66:$C$69))</f>
        <v>84.5431207842069</v>
      </c>
      <c r="E117" s="2" t="n">
        <f aca="false">$C$101/C117</f>
        <v>0.954451594230457</v>
      </c>
      <c r="F117" s="2" t="n">
        <f aca="false">E117*D117</f>
        <v>80.6923164137043</v>
      </c>
    </row>
    <row r="118" customFormat="false" ht="13.8" hidden="false" customHeight="false" outlineLevel="0" collapsed="false">
      <c r="A118" s="2" t="n">
        <v>2019</v>
      </c>
      <c r="B118" s="2" t="n">
        <v>1</v>
      </c>
      <c r="C118" s="2" t="n">
        <v>105.537390943414</v>
      </c>
      <c r="D118" s="19" t="n">
        <f aca="false">$D$69*(C117/AVERAGE($C$66:$C$69))</f>
        <v>84.6847600674328</v>
      </c>
      <c r="E118" s="2" t="n">
        <f aca="false">$C$98/C118</f>
        <v>0.929367620302028</v>
      </c>
      <c r="F118" s="2" t="n">
        <f aca="false">E118*D118</f>
        <v>78.7032739397182</v>
      </c>
    </row>
    <row r="119" customFormat="false" ht="13.8" hidden="false" customHeight="false" outlineLevel="0" collapsed="false">
      <c r="A119" s="2" t="n">
        <v>2019</v>
      </c>
      <c r="B119" s="2" t="n">
        <v>2</v>
      </c>
      <c r="C119" s="2" t="n">
        <v>105.472891746476</v>
      </c>
      <c r="D119" s="19" t="n">
        <f aca="false">$D$69*(C118/AVERAGE($C$66:$C$69))</f>
        <v>84.8734402342624</v>
      </c>
      <c r="E119" s="2" t="n">
        <f aca="false">$C$99/C119</f>
        <v>0.937413310710079</v>
      </c>
      <c r="F119" s="2" t="n">
        <f aca="false">E119*D119</f>
        <v>79.5614926013539</v>
      </c>
    </row>
    <row r="120" customFormat="false" ht="13.8" hidden="false" customHeight="false" outlineLevel="0" collapsed="false">
      <c r="A120" s="2" t="n">
        <v>2019</v>
      </c>
      <c r="B120" s="2" t="n">
        <v>3</v>
      </c>
      <c r="C120" s="2" t="n">
        <v>105.465077377946</v>
      </c>
      <c r="D120" s="19" t="n">
        <f aca="false">$D$69*(C119/AVERAGE($C$66:$C$69))</f>
        <v>84.8215698148069</v>
      </c>
      <c r="E120" s="2" t="n">
        <f aca="false">$C$100/C120</f>
        <v>0.94503037417149</v>
      </c>
      <c r="F120" s="2" t="n">
        <f aca="false">E120*D120</f>
        <v>80.1589598599</v>
      </c>
    </row>
    <row r="121" customFormat="false" ht="13.8" hidden="false" customHeight="false" outlineLevel="0" collapsed="false">
      <c r="A121" s="2" t="n">
        <v>2019</v>
      </c>
      <c r="B121" s="2" t="n">
        <v>4</v>
      </c>
      <c r="C121" s="2" t="n">
        <v>105.468976509901</v>
      </c>
      <c r="D121" s="19" t="n">
        <f aca="false">$D$69*(C120/AVERAGE($C$66:$C$69))</f>
        <v>84.8152854796109</v>
      </c>
      <c r="E121" s="2" t="n">
        <f aca="false">$C$101/C121</f>
        <v>0.952947521741001</v>
      </c>
      <c r="F121" s="2" t="n">
        <f aca="false">E121*D121</f>
        <v>80.8245161035507</v>
      </c>
    </row>
    <row r="122" customFormat="false" ht="13.8" hidden="false" customHeight="false" outlineLevel="0" collapsed="false">
      <c r="A122" s="2" t="n">
        <v>2020</v>
      </c>
      <c r="B122" s="2" t="n">
        <v>1</v>
      </c>
      <c r="C122" s="2" t="n">
        <v>105.414251920888</v>
      </c>
      <c r="D122" s="19" t="n">
        <f aca="false">$D$69*(C121/AVERAGE($C$66:$C$69))</f>
        <v>84.8184211715205</v>
      </c>
      <c r="E122" s="2" t="n">
        <f aca="false">$C$98/C122</f>
        <v>0.930453255481768</v>
      </c>
      <c r="F122" s="2" t="n">
        <f aca="false">E122*D122</f>
        <v>78.919576103865</v>
      </c>
    </row>
    <row r="123" customFormat="false" ht="13.8" hidden="false" customHeight="false" outlineLevel="0" collapsed="false">
      <c r="A123" s="2" t="n">
        <v>2020</v>
      </c>
      <c r="B123" s="2" t="n">
        <v>2</v>
      </c>
      <c r="C123" s="2" t="n">
        <v>106.152053314759</v>
      </c>
      <c r="D123" s="19" t="n">
        <f aca="false">$D$69*(C122/AVERAGE($C$66:$C$69))</f>
        <v>84.7744115168055</v>
      </c>
      <c r="E123" s="2" t="n">
        <f aca="false">$C$99/C123</f>
        <v>0.931415733891254</v>
      </c>
      <c r="F123" s="2" t="n">
        <f aca="false">E123*D123</f>
        <v>78.9602207181246</v>
      </c>
    </row>
    <row r="124" customFormat="false" ht="13.8" hidden="false" customHeight="false" outlineLevel="0" collapsed="false">
      <c r="A124" s="2" t="n">
        <v>2020</v>
      </c>
      <c r="B124" s="2" t="n">
        <v>3</v>
      </c>
      <c r="C124" s="2" t="n">
        <v>104.692229122535</v>
      </c>
      <c r="D124" s="19" t="n">
        <f aca="false">$D$69*(C123/AVERAGE($C$66:$C$69))</f>
        <v>85.3677532883587</v>
      </c>
      <c r="E124" s="2" t="n">
        <f aca="false">$C$100/C124</f>
        <v>0.952006680647245</v>
      </c>
      <c r="F124" s="2" t="n">
        <f aca="false">E124*D124</f>
        <v>81.2706714423633</v>
      </c>
    </row>
    <row r="125" customFormat="false" ht="13.8" hidden="false" customHeight="false" outlineLevel="0" collapsed="false">
      <c r="A125" s="2" t="n">
        <v>2020</v>
      </c>
      <c r="B125" s="2" t="n">
        <v>4</v>
      </c>
      <c r="C125" s="2" t="n">
        <v>104.255949350913</v>
      </c>
      <c r="D125" s="19" t="n">
        <f aca="false">$D$69*(C124/AVERAGE($C$66:$C$69))</f>
        <v>84.1937589322003</v>
      </c>
      <c r="E125" s="2" t="n">
        <f aca="false">$C$101/C125</f>
        <v>0.964035150141672</v>
      </c>
      <c r="F125" s="2" t="n">
        <f aca="false">E125*D125</f>
        <v>81.1657430331955</v>
      </c>
    </row>
    <row r="126" customFormat="false" ht="13.8" hidden="false" customHeight="false" outlineLevel="0" collapsed="false">
      <c r="A126" s="2" t="n">
        <v>2021</v>
      </c>
      <c r="B126" s="2" t="n">
        <v>1</v>
      </c>
      <c r="C126" s="2" t="n">
        <v>104.473837340587</v>
      </c>
      <c r="D126" s="19" t="n">
        <f aca="false">$D$69*(C125/AVERAGE($C$66:$C$69))</f>
        <v>83.8429016219032</v>
      </c>
      <c r="E126" s="2" t="n">
        <f aca="false">$C$98/C126</f>
        <v>0.938828671088367</v>
      </c>
      <c r="F126" s="2" t="n">
        <f aca="false">E126*D126</f>
        <v>78.7141199098841</v>
      </c>
    </row>
    <row r="127" customFormat="false" ht="13.8" hidden="false" customHeight="false" outlineLevel="0" collapsed="false">
      <c r="A127" s="2" t="n">
        <v>2021</v>
      </c>
      <c r="B127" s="2" t="n">
        <v>2</v>
      </c>
      <c r="C127" s="2" t="n">
        <v>104.987466992606</v>
      </c>
      <c r="D127" s="19" t="n">
        <f aca="false">$D$69*(C126/AVERAGE($C$66:$C$69))</f>
        <v>84.0181277015329</v>
      </c>
      <c r="E127" s="2" t="n">
        <f aca="false">$C$99/C127</f>
        <v>0.941747576872134</v>
      </c>
      <c r="F127" s="2" t="n">
        <f aca="false">E127*D127</f>
        <v>79.1238681762521</v>
      </c>
    </row>
    <row r="128" customFormat="false" ht="13.8" hidden="false" customHeight="false" outlineLevel="0" collapsed="false">
      <c r="A128" s="2" t="n">
        <v>2021</v>
      </c>
      <c r="B128" s="2" t="n">
        <v>3</v>
      </c>
      <c r="C128" s="2" t="n">
        <v>105.532277249572</v>
      </c>
      <c r="D128" s="19" t="n">
        <f aca="false">$D$69*(C127/AVERAGE($C$66:$C$69))</f>
        <v>84.4311899838529</v>
      </c>
      <c r="E128" s="2" t="n">
        <f aca="false">$C$100/C128</f>
        <v>0.944428606432916</v>
      </c>
      <c r="F128" s="2" t="n">
        <f aca="false">E128*D128</f>
        <v>79.7392310959229</v>
      </c>
    </row>
    <row r="129" customFormat="false" ht="13.8" hidden="false" customHeight="false" outlineLevel="0" collapsed="false">
      <c r="A129" s="2" t="n">
        <v>2021</v>
      </c>
      <c r="B129" s="2" t="n">
        <v>4</v>
      </c>
      <c r="C129" s="2" t="n">
        <v>106.081243504608</v>
      </c>
      <c r="D129" s="19" t="n">
        <f aca="false">$D$69*(C128/AVERAGE($C$66:$C$69))</f>
        <v>84.8693277885709</v>
      </c>
      <c r="E129" s="2" t="n">
        <f aca="false">$C$101/C129</f>
        <v>0.947447413560006</v>
      </c>
      <c r="F129" s="2" t="n">
        <f aca="false">E129*D129</f>
        <v>80.4092251038578</v>
      </c>
    </row>
    <row r="130" customFormat="false" ht="13.8" hidden="false" customHeight="false" outlineLevel="0" collapsed="false">
      <c r="A130" s="2" t="n">
        <v>2022</v>
      </c>
      <c r="B130" s="2" t="n">
        <v>1</v>
      </c>
      <c r="C130" s="2" t="n">
        <v>107.228391653468</v>
      </c>
      <c r="D130" s="19" t="n">
        <f aca="false">$D$69*(C129/AVERAGE($C$66:$C$69))</f>
        <v>85.3108078575865</v>
      </c>
      <c r="E130" s="2" t="n">
        <f aca="false">$C$98/C130</f>
        <v>0.914711415153389</v>
      </c>
      <c r="F130" s="2" t="n">
        <f aca="false">E130*D130</f>
        <v>78.0347697832917</v>
      </c>
    </row>
    <row r="131" customFormat="false" ht="13.8" hidden="false" customHeight="false" outlineLevel="0" collapsed="false">
      <c r="A131" s="2" t="n">
        <v>2022</v>
      </c>
      <c r="B131" s="2" t="n">
        <v>2</v>
      </c>
      <c r="C131" s="2" t="n">
        <v>108.665438636281</v>
      </c>
      <c r="D131" s="19" t="n">
        <f aca="false">$D$69*(C130/AVERAGE($C$66:$C$69))</f>
        <v>86.2333473384451</v>
      </c>
      <c r="E131" s="2" t="n">
        <f aca="false">$C$99/C131</f>
        <v>0.90987248460081</v>
      </c>
      <c r="F131" s="2" t="n">
        <f aca="false">E131*D131</f>
        <v>78.4613499982757</v>
      </c>
    </row>
    <row r="132" customFormat="false" ht="13.8" hidden="false" customHeight="false" outlineLevel="0" collapsed="false">
      <c r="A132" s="2" t="n">
        <v>2022</v>
      </c>
      <c r="B132" s="2" t="n">
        <v>3</v>
      </c>
      <c r="C132" s="2" t="n">
        <v>109.662008713931</v>
      </c>
      <c r="D132" s="19" t="n">
        <f aca="false">$D$69*(C131/AVERAGE($C$66:$C$69))</f>
        <v>87.3890242044291</v>
      </c>
      <c r="E132" s="2" t="n">
        <f aca="false">$C$100/C132</f>
        <v>0.908862628957517</v>
      </c>
      <c r="F132" s="2" t="n">
        <f aca="false">E132*D132</f>
        <v>79.4246182804694</v>
      </c>
    </row>
    <row r="133" customFormat="false" ht="13.8" hidden="false" customHeight="false" outlineLevel="0" collapsed="false">
      <c r="A133" s="2" t="n">
        <v>2022</v>
      </c>
      <c r="B133" s="2" t="n">
        <v>4</v>
      </c>
      <c r="C133" s="2" t="n">
        <v>110.114154178387</v>
      </c>
      <c r="D133" s="19" t="n">
        <f aca="false">$D$69*(C132/AVERAGE($C$66:$C$69))</f>
        <v>88.1904684145672</v>
      </c>
      <c r="E133" s="2" t="n">
        <f aca="false">$C$101/C133</f>
        <v>0.912747326041734</v>
      </c>
      <c r="F133" s="2" t="n">
        <f aca="false">E133*D133</f>
        <v>80.4956142277642</v>
      </c>
    </row>
    <row r="134" customFormat="false" ht="13.8" hidden="false" customHeight="false" outlineLevel="0" collapsed="false">
      <c r="A134" s="2" t="n">
        <v>2023</v>
      </c>
      <c r="B134" s="2" t="n">
        <v>1</v>
      </c>
      <c r="C134" s="2" t="n">
        <v>110.397594317166</v>
      </c>
      <c r="D134" s="19" t="n">
        <f aca="false">$D$69*(C133/AVERAGE($C$66:$C$69))</f>
        <v>88.5540849556969</v>
      </c>
      <c r="E134" s="2" t="n">
        <f aca="false">$C$98/C134</f>
        <v>0.888452637764719</v>
      </c>
      <c r="F134" s="2" t="n">
        <f aca="false">E134*D134</f>
        <v>78.6761103637299</v>
      </c>
    </row>
    <row r="135" customFormat="false" ht="13.8" hidden="false" customHeight="false" outlineLevel="0" collapsed="false">
      <c r="A135" s="2" t="n">
        <v>2023</v>
      </c>
      <c r="B135" s="2" t="n">
        <v>2</v>
      </c>
      <c r="C135" s="2" t="n">
        <v>110.872665883349</v>
      </c>
      <c r="D135" s="19" t="n">
        <f aca="false">$D$69*(C134/AVERAGE($C$66:$C$69))</f>
        <v>88.782028241613</v>
      </c>
      <c r="E135" s="2" t="n">
        <f aca="false">$C$99/C135</f>
        <v>0.891758954783809</v>
      </c>
      <c r="F135" s="2" t="n">
        <f aca="false">E135*D135</f>
        <v>79.1721687083274</v>
      </c>
    </row>
    <row r="136" customFormat="false" ht="13.8" hidden="false" customHeight="false" outlineLevel="0" collapsed="false">
      <c r="A136" s="2" t="n">
        <v>2023</v>
      </c>
      <c r="B136" s="2" t="n">
        <v>3</v>
      </c>
      <c r="C136" s="2" t="n">
        <v>112.169848642022</v>
      </c>
      <c r="D136" s="19" t="n">
        <f aca="false">$D$69*(C135/AVERAGE($C$66:$C$69))</f>
        <v>89.1640820124992</v>
      </c>
      <c r="E136" s="2" t="n">
        <f aca="false">$C$100/C136</f>
        <v>0.888542712173787</v>
      </c>
      <c r="F136" s="2" t="n">
        <f aca="false">E136*D136</f>
        <v>79.2260952598721</v>
      </c>
    </row>
    <row r="137" customFormat="false" ht="13.8" hidden="false" customHeight="false" outlineLevel="0" collapsed="false">
      <c r="A137" s="2" t="n">
        <v>2023</v>
      </c>
      <c r="B137" s="2" t="n">
        <v>4</v>
      </c>
      <c r="C137" s="2" t="n">
        <v>111.881688987881</v>
      </c>
      <c r="D137" s="19" t="n">
        <f aca="false">$D$69*(C136/AVERAGE($C$66:$C$69))</f>
        <v>90.2072797110304</v>
      </c>
      <c r="E137" s="2" t="n">
        <f aca="false">$C$101/C137</f>
        <v>0.89832751627978</v>
      </c>
      <c r="F137" s="2" t="n">
        <f aca="false">E137*D137</f>
        <v>81.0356815331653</v>
      </c>
    </row>
    <row r="138" customFormat="false" ht="13.8" hidden="false" customHeight="false" outlineLevel="0" collapsed="false">
      <c r="A138" s="2" t="n">
        <v>2024</v>
      </c>
      <c r="B138" s="2" t="n">
        <v>1</v>
      </c>
      <c r="C138" s="2" t="n">
        <v>112.031841115164</v>
      </c>
      <c r="D138" s="19" t="n">
        <f aca="false">$D$69*(C137/AVERAGE($C$66:$C$69))</f>
        <v>89.9755409787665</v>
      </c>
      <c r="E138" s="2" t="n">
        <f aca="false">$C$98/C138</f>
        <v>0.875492475153919</v>
      </c>
      <c r="F138" s="2" t="n">
        <f aca="false">E138*D138</f>
        <v>78.7729090748131</v>
      </c>
    </row>
    <row r="139" customFormat="false" ht="13.8" hidden="false" customHeight="false" outlineLevel="0" collapsed="false">
      <c r="A139" s="2" t="n">
        <v>2024</v>
      </c>
      <c r="B139" s="2" t="n">
        <v>2</v>
      </c>
      <c r="C139" s="2" t="n">
        <v>113.260097496806</v>
      </c>
      <c r="D139" s="19" t="n">
        <f aca="false">$D$69*(C138/AVERAGE($C$66:$C$69))</f>
        <v>90.0962937042895</v>
      </c>
      <c r="E139" s="2" t="n">
        <f aca="false">$C$99/C139</f>
        <v>0.87296139441358</v>
      </c>
      <c r="F139" s="2" t="n">
        <f aca="false">E139*D139</f>
        <v>78.650586183592</v>
      </c>
    </row>
    <row r="140" customFormat="false" ht="13.8" hidden="false" customHeight="false" outlineLevel="0" collapsed="false">
      <c r="A140" s="2" t="n">
        <v>2024</v>
      </c>
      <c r="B140" s="2" t="n">
        <v>3</v>
      </c>
      <c r="C140" s="2" t="n">
        <v>113.771246610086</v>
      </c>
      <c r="D140" s="19" t="n">
        <f aca="false">$D$69*(C139/AVERAGE($C$66:$C$69))</f>
        <v>91.0840606337897</v>
      </c>
      <c r="E140" s="2" t="n">
        <f aca="false">$C$100/C140</f>
        <v>0.876035944987788</v>
      </c>
      <c r="F140" s="2" t="n">
        <f aca="false">E140*D140</f>
        <v>79.792911130647</v>
      </c>
    </row>
    <row r="141" customFormat="false" ht="13.8" hidden="false" customHeight="false" outlineLevel="0" collapsed="false">
      <c r="A141" s="2" t="n">
        <v>2024</v>
      </c>
      <c r="B141" s="2" t="n">
        <v>4</v>
      </c>
      <c r="C141" s="2" t="n">
        <v>113.148518059142</v>
      </c>
      <c r="D141" s="19" t="n">
        <f aca="false">$D$69*(C140/AVERAGE($C$66:$C$69))</f>
        <v>91.4951280604994</v>
      </c>
      <c r="E141" s="2" t="n">
        <f aca="false">$C$101/C141</f>
        <v>0.888269696410305</v>
      </c>
      <c r="F141" s="2" t="n">
        <f aca="false">E141*D141</f>
        <v>81.2723496253218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Jaramillo Vasconez Oscar Eduardo</dc:creator>
  <dc:description/>
  <dc:language>es-EC</dc:language>
  <cp:lastModifiedBy/>
  <dcterms:modified xsi:type="dcterms:W3CDTF">2025-07-01T19:53:48Z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