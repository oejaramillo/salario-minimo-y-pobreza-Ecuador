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hidePivotFieldList="1"/>
  <mc:AlternateContent xmlns:mc="http://schemas.openxmlformats.org/markup-compatibility/2006">
    <mc:Choice Requires="x15">
      <x15ac:absPath xmlns:x15ac="http://schemas.microsoft.com/office/spreadsheetml/2010/11/ac" url="C:\edu\repositories\salario-minimo-y-pobreza-Ecuador\"/>
    </mc:Choice>
  </mc:AlternateContent>
  <xr:revisionPtr revIDLastSave="0" documentId="13_ncr:1_{2D4DA77E-F5A2-4F58-8916-A89F2CC7B93A}" xr6:coauthVersionLast="47" xr6:coauthVersionMax="47" xr10:uidLastSave="{00000000-0000-0000-0000-000000000000}"/>
  <bookViews>
    <workbookView xWindow="2970" yWindow="2760" windowWidth="23145" windowHeight="15285" xr2:uid="{00000000-000D-0000-FFFF-FFFF00000000}"/>
  </bookViews>
  <sheets>
    <sheet name="datos" sheetId="1" r:id="rId1"/>
    <sheet name="inec (2014) empalmada ipc" sheetId="2" r:id="rId2"/>
    <sheet name="tabla dinamica ipc" sheetId="3" r:id="rId3"/>
    <sheet name="banco central (2004) pond ipc" sheetId="4" r:id="rId4"/>
    <sheet name="banco central SBU" sheetId="5" r:id="rId5"/>
    <sheet name="chain linking empalme" sheetId="6" r:id="rId6"/>
  </sheets>
  <definedNames>
    <definedName name="_xlnm._FilterDatabase" localSheetId="1" hidden="1">'inec (2014) empalmada ipc'!$A$1:$C$242</definedName>
  </definedNames>
  <calcPr calcId="191029" iterateDelta="1E-4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4" l="1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E47" i="4"/>
  <c r="E32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32" i="4"/>
  <c r="K39" i="6"/>
  <c r="L39" i="6"/>
  <c r="M39" i="6"/>
  <c r="J39" i="6"/>
  <c r="J27" i="6"/>
  <c r="J19" i="6"/>
  <c r="K19" i="6"/>
  <c r="L19" i="6"/>
  <c r="M19" i="6"/>
  <c r="J20" i="6"/>
  <c r="K20" i="6"/>
  <c r="L20" i="6"/>
  <c r="M20" i="6"/>
  <c r="J21" i="6"/>
  <c r="K21" i="6"/>
  <c r="L21" i="6"/>
  <c r="M21" i="6"/>
  <c r="J22" i="6"/>
  <c r="K22" i="6"/>
  <c r="L22" i="6"/>
  <c r="M22" i="6"/>
  <c r="J23" i="6"/>
  <c r="K23" i="6"/>
  <c r="L23" i="6"/>
  <c r="M23" i="6"/>
  <c r="J24" i="6"/>
  <c r="K24" i="6"/>
  <c r="L24" i="6"/>
  <c r="M24" i="6"/>
  <c r="J25" i="6"/>
  <c r="K25" i="6"/>
  <c r="L25" i="6"/>
  <c r="M25" i="6"/>
  <c r="J26" i="6"/>
  <c r="K26" i="6"/>
  <c r="L26" i="6"/>
  <c r="M26" i="6"/>
  <c r="K27" i="6"/>
  <c r="L27" i="6"/>
  <c r="M27" i="6"/>
  <c r="M18" i="6"/>
  <c r="K18" i="6"/>
  <c r="L18" i="6"/>
  <c r="J18" i="6"/>
</calcChain>
</file>

<file path=xl/sharedStrings.xml><?xml version="1.0" encoding="utf-8"?>
<sst xmlns="http://schemas.openxmlformats.org/spreadsheetml/2006/main" count="110" uniqueCount="83">
  <si>
    <t>Año</t>
  </si>
  <si>
    <t>trimestre</t>
  </si>
  <si>
    <t>Nacional</t>
  </si>
  <si>
    <t>Sierra</t>
  </si>
  <si>
    <t>Costa</t>
  </si>
  <si>
    <t>Guayaquil</t>
  </si>
  <si>
    <t>Esmeraldas</t>
  </si>
  <si>
    <t>Machala</t>
  </si>
  <si>
    <t>Manta</t>
  </si>
  <si>
    <t>Santo Domingo</t>
  </si>
  <si>
    <t>Quito</t>
  </si>
  <si>
    <t>Loja</t>
  </si>
  <si>
    <t>Cuenca</t>
  </si>
  <si>
    <t>Ambato</t>
  </si>
  <si>
    <t>fecha</t>
  </si>
  <si>
    <t>nacional</t>
  </si>
  <si>
    <t>sierra</t>
  </si>
  <si>
    <t>costa</t>
  </si>
  <si>
    <t>Sto. Domingo</t>
  </si>
  <si>
    <t>salario básico unificado</t>
  </si>
  <si>
    <t>Row Labels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</si>
  <si>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</si>
  <si>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</si>
  <si>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</si>
  <si>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</si>
  <si>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</si>
  <si>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</si>
  <si>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</si>
  <si>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</si>
  <si>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</si>
  <si>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</si>
  <si>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</si>
  <si>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</si>
  <si>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</si>
  <si>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</si>
  <si>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</si>
  <si>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</si>
  <si>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</si>
  <si>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</si>
  <si>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</si>
  <si>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</si>
  <si>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</si>
  <si>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Average of Esmeraldas</t>
  </si>
  <si>
    <t>Average of nacional</t>
  </si>
  <si>
    <t>Average of sierra</t>
  </si>
  <si>
    <t>Average of costa</t>
  </si>
  <si>
    <t>Average of Guayaquil</t>
  </si>
  <si>
    <t>Average of Machala</t>
  </si>
  <si>
    <t>Average of Manta</t>
  </si>
  <si>
    <t>Average of Sto. Domingo</t>
  </si>
  <si>
    <t>Average of Quito</t>
  </si>
  <si>
    <t>Average of Loja</t>
  </si>
  <si>
    <t>Average of Cuenca</t>
  </si>
  <si>
    <t>Average of Ambato</t>
  </si>
  <si>
    <t>sucres</t>
  </si>
  <si>
    <t>dólares</t>
  </si>
  <si>
    <t>1992 ene</t>
  </si>
  <si>
    <t>1992 jun</t>
  </si>
  <si>
    <t>1993 ene</t>
  </si>
  <si>
    <t>1993 jul</t>
  </si>
  <si>
    <t>1994 ene</t>
  </si>
  <si>
    <t>1994 jul</t>
  </si>
  <si>
    <t>1995 ene</t>
  </si>
  <si>
    <t>1995 jul</t>
  </si>
  <si>
    <t>1997 ene</t>
  </si>
  <si>
    <t>1997 jul</t>
  </si>
  <si>
    <t>2000 (2)</t>
  </si>
  <si>
    <t>2000 (3) (4)</t>
  </si>
  <si>
    <t>2001 (5)</t>
  </si>
  <si>
    <t>Base 2004</t>
  </si>
  <si>
    <t>nacional bc</t>
  </si>
  <si>
    <t>Guayaquil bc</t>
  </si>
  <si>
    <t>Quito bc</t>
  </si>
  <si>
    <t>Cuenca bc</t>
  </si>
  <si>
    <t>Base 2014</t>
  </si>
  <si>
    <t>nacional factor</t>
  </si>
  <si>
    <t>Guayaquil factor</t>
  </si>
  <si>
    <t>Quito factor</t>
  </si>
  <si>
    <t>Cuenca factor</t>
  </si>
  <si>
    <t>factor</t>
  </si>
  <si>
    <t>Factor promedio de solapamiento</t>
  </si>
  <si>
    <t>Factor solapamiento</t>
  </si>
  <si>
    <t>Serie ajustada por factor de solapamiento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</si>
</sst>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visor" refreshedDate="45720.675495717594" createdVersion="8" refreshedVersion="8" minRefreshableVersion="3" recordCount="241" xr:uid="{FB3FAF22-D47B-4DD2-99E6-65EA476AB9DE}">
  <cacheSource type="worksheet">
    <worksheetSource ref="A1:M242" sheet="inec (2014) empalmada ipc"/>
  </cacheSource>
  <cacheFields count="16">
    <cacheField name="fecha" numFmtId="14">
      <sharedItems containsSemiMixedTypes="0" containsNonDate="0" containsDate="1" containsString="0" minDate="2005-01-01T00:00:00" maxDate="2025-01-02T00:00:00" count="241"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</sharedItems>
      <fieldGroup par="15"/>
    </cacheField>
    <cacheField name="nacional" numFmtId="0">
      <sharedItems containsSemiMixedTypes="0" containsString="0" containsNumber="1" minValue="67.121917594868805" maxValue="113.98680824373299"/>
    </cacheField>
    <cacheField name="sierra" numFmtId="0">
      <sharedItems containsSemiMixedTypes="0" containsString="0" containsNumber="1" minValue="66.615007631240999" maxValue="113.163699223154"/>
    </cacheField>
    <cacheField name="costa" numFmtId="0">
      <sharedItems containsSemiMixedTypes="0" containsString="0" containsNumber="1" minValue="67.705108619109197" maxValue="114.813179726668"/>
    </cacheField>
    <cacheField name="Guayaquil" numFmtId="0">
      <sharedItems containsSemiMixedTypes="0" containsString="0" containsNumber="1" minValue="70.469441947920899" maxValue="115.673554164913"/>
    </cacheField>
    <cacheField name="Esmeraldas" numFmtId="0">
      <sharedItems containsSemiMixedTypes="0" containsString="0" containsNumber="1" minValue="65.6038791415167" maxValue="113.852835645735"/>
    </cacheField>
    <cacheField name="Machala" numFmtId="0">
      <sharedItems containsSemiMixedTypes="0" containsString="0" containsNumber="1" minValue="64.752003259168703" maxValue="112.96158159951"/>
    </cacheField>
    <cacheField name="Manta" numFmtId="0">
      <sharedItems containsSemiMixedTypes="0" containsString="0" containsNumber="1" minValue="63.397862959346703" maxValue="113.40647873745201"/>
    </cacheField>
    <cacheField name="Sto. Domingo" numFmtId="0">
      <sharedItems containsString="0" containsBlank="1" containsNumber="1" minValue="101.186048417606" maxValue="115.30332147288701"/>
    </cacheField>
    <cacheField name="Quito" numFmtId="0">
      <sharedItems containsSemiMixedTypes="0" containsString="0" containsNumber="1" minValue="67.508714208421694" maxValue="113.346228877226"/>
    </cacheField>
    <cacheField name="Loja" numFmtId="0">
      <sharedItems containsSemiMixedTypes="0" containsString="0" containsNumber="1" minValue="65.487634465549604" maxValue="111.170750587999"/>
    </cacheField>
    <cacheField name="Cuenca" numFmtId="0">
      <sharedItems containsSemiMixedTypes="0" containsString="0" containsNumber="1" minValue="68.333694282628898" maxValue="116.731022933923"/>
    </cacheField>
    <cacheField name="Ambato" numFmtId="0">
      <sharedItems containsSemiMixedTypes="0" containsString="0" containsNumber="1" minValue="64.271958103554297" maxValue="112.120401146109"/>
    </cacheField>
    <cacheField name="Months (fecha)" numFmtId="0" databaseField="0">
      <fieldGroup base="0">
        <rangePr groupBy="months" startDate="2005-01-01T00:00:00" endDate="2025-01-02T00:00:00"/>
        <groupItems count="14">
          <s v="&lt;1/1/200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5"/>
        </groupItems>
      </fieldGroup>
    </cacheField>
    <cacheField name="Quarters (fecha)" numFmtId="0" databaseField="0">
      <fieldGroup base="0">
        <rangePr groupBy="quarters" startDate="2005-01-01T00:00:00" endDate="2025-01-02T00:00:00"/>
        <groupItems count="6">
          <s v="&lt;1/1/2005"/>
          <s v="Qtr1"/>
          <s v="Qtr2"/>
          <s v="Qtr3"/>
          <s v="Qtr4"/>
          <s v="&gt;1/2/2025"/>
        </groupItems>
      </fieldGroup>
    </cacheField>
    <cacheField name="Years (fecha)" numFmtId="0" databaseField="0">
      <fieldGroup base="0">
        <rangePr groupBy="years" startDate="2005-01-01T00:00:00" endDate="2025-01-02T00:00:00"/>
        <groupItems count="23">
          <s v="&lt;1/1/2005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x v="0"/>
    <n v="67.121917594868805"/>
    <n v="66.615007631240999"/>
    <n v="67.705108619109197"/>
    <n v="70.469441947920899"/>
    <n v="65.6038791415167"/>
    <n v="64.969189047678498"/>
    <n v="63.397862959346703"/>
    <m/>
    <n v="67.508714208421694"/>
    <n v="65.487634465549604"/>
    <n v="68.333694282628898"/>
    <n v="64.271958103554297"/>
  </r>
  <r>
    <x v="1"/>
    <n v="67.3046130616965"/>
    <n v="66.832876338062704"/>
    <n v="67.847033881736607"/>
    <n v="70.599025168420397"/>
    <n v="65.614125212009895"/>
    <n v="64.752003259168703"/>
    <n v="63.806175646673097"/>
    <m/>
    <n v="67.610877367137405"/>
    <n v="65.906087780925105"/>
    <n v="68.706718446764796"/>
    <n v="64.536711734742099"/>
  </r>
  <r>
    <x v="2"/>
    <n v="67.481873547331105"/>
    <n v="66.905499240336596"/>
    <n v="68.144401098670201"/>
    <n v="70.726385485755202"/>
    <n v="66.254928375079004"/>
    <n v="65.153632944484301"/>
    <n v="64.197366443672905"/>
    <m/>
    <n v="67.666355710531604"/>
    <n v="65.723519157506999"/>
    <n v="68.871723373535602"/>
    <n v="64.869294240760297"/>
  </r>
  <r>
    <x v="3"/>
    <n v="68.046960032897502"/>
    <n v="67.222399177531798"/>
    <n v="69.002711020274006"/>
    <n v="71.712369607458001"/>
    <n v="67.085066072411095"/>
    <n v="65.770740652061903"/>
    <n v="64.810922336828099"/>
    <m/>
    <n v="67.908059172542906"/>
    <n v="66.0026709214319"/>
    <n v="69.275245872938399"/>
    <n v="65.419576455455598"/>
  </r>
  <r>
    <x v="4"/>
    <n v="68.1661192519189"/>
    <n v="67.354440818029801"/>
    <n v="69.110844553704396"/>
    <n v="71.761844231780103"/>
    <n v="67.384518903226095"/>
    <n v="66.113183609242995"/>
    <n v="64.823366931973894"/>
    <m/>
    <n v="68.146875903075994"/>
    <n v="66.013476623717906"/>
    <n v="69.294155663426594"/>
    <n v="65.395807863822398"/>
  </r>
  <r>
    <x v="5"/>
    <n v="68.2145671907777"/>
    <n v="67.578911606876403"/>
    <n v="68.948644253558797"/>
    <n v="71.558171574085506"/>
    <n v="67.225602329457601"/>
    <n v="66.009473742790107"/>
    <n v="64.730322492516905"/>
    <m/>
    <n v="68.377863720771799"/>
    <n v="66.325918206311101"/>
    <n v="69.233796534239104"/>
    <n v="65.669814170232499"/>
  </r>
  <r>
    <x v="6"/>
    <n v="68.108353243614999"/>
    <n v="67.473278294478007"/>
    <n v="68.840510720128407"/>
    <n v="71.401605141579594"/>
    <n v="66.752805668316796"/>
    <n v="65.954354205619197"/>
    <n v="65.083572834208397"/>
    <m/>
    <n v="68.284215817482604"/>
    <n v="66.351437826904302"/>
    <n v="68.813757545331896"/>
    <n v="65.553484042293306"/>
  </r>
  <r>
    <x v="7"/>
    <n v="68.008711769054202"/>
    <n v="67.440267884353503"/>
    <n v="68.664793728304005"/>
    <n v="71.213966599039793"/>
    <n v="66.679655042572193"/>
    <n v="65.914801816919805"/>
    <n v="64.798557091550606"/>
    <m/>
    <n v="68.277924251212298"/>
    <n v="66.354583450882302"/>
    <n v="69.163138423517395"/>
    <n v="65.215596736082006"/>
  </r>
  <r>
    <x v="8"/>
    <n v="68.496080162748797"/>
    <n v="68.2853343835407"/>
    <n v="68.7188604950192"/>
    <n v="71.121944687300001"/>
    <n v="66.932023971643602"/>
    <n v="66.156326062331402"/>
    <n v="65.000494651139903"/>
    <m/>
    <n v="69.296359727106505"/>
    <n v="67.215559754049906"/>
    <n v="69.430662898643106"/>
    <n v="65.835364124195294"/>
  </r>
  <r>
    <x v="9"/>
    <n v="68.7357768609902"/>
    <n v="68.529611418461997"/>
    <n v="68.955402599398198"/>
    <n v="71.348803270160303"/>
    <n v="67.024514356798406"/>
    <n v="66.202695968041894"/>
    <n v="65.458395370318996"/>
    <m/>
    <n v="69.521137657401795"/>
    <n v="67.421275224831504"/>
    <n v="69.552598819629907"/>
    <n v="66.215441500450396"/>
  </r>
  <r>
    <x v="10"/>
    <n v="68.851363105484594"/>
    <n v="68.589030156686107"/>
    <n v="69.137877937062001"/>
    <n v="71.365752830233504"/>
    <n v="67.908152509507104"/>
    <n v="66.239125759837194"/>
    <n v="65.432340411804304"/>
    <m/>
    <n v="69.420439807655001"/>
    <n v="67.830161241493698"/>
    <n v="69.8676213733075"/>
    <n v="66.267229078354404"/>
  </r>
  <r>
    <x v="11"/>
    <n v="69.056664894734496"/>
    <n v="68.767286371358395"/>
    <n v="69.374420041440999"/>
    <n v="71.581991903372099"/>
    <n v="68.296005585874695"/>
    <n v="66.331353834081995"/>
    <n v="65.613780860742906"/>
    <m/>
    <n v="69.52085414231"/>
    <n v="68.031286543920402"/>
    <n v="70.004084709193094"/>
    <n v="66.671435933643906"/>
  </r>
  <r>
    <x v="12"/>
    <n v="69.386835080148202"/>
    <n v="68.958746750080493"/>
    <n v="69.867779287717198"/>
    <n v="71.995684595688402"/>
    <n v="68.793069426560507"/>
    <n v="66.66143120449"/>
    <n v="66.349859146151502"/>
    <m/>
    <n v="69.594243719632303"/>
    <n v="68.331685471188607"/>
    <n v="70.409052441776694"/>
    <n v="67.004078208225096"/>
  </r>
  <r>
    <x v="13"/>
    <n v="69.877960404046206"/>
    <n v="69.506719558147196"/>
    <n v="70.2935550755994"/>
    <n v="72.282349800318997"/>
    <n v="69.502806419464505"/>
    <n v="67.081190308104397"/>
    <n v="66.851018989830095"/>
    <m/>
    <n v="70.351512118808998"/>
    <n v="68.551453206070406"/>
    <n v="70.679623675480499"/>
    <n v="67.402907180848004"/>
  </r>
  <r>
    <x v="14"/>
    <n v="70.3332891531239"/>
    <n v="69.889373051645194"/>
    <n v="70.837669110382706"/>
    <n v="72.911645139722197"/>
    <n v="69.901927882309593"/>
    <n v="67.773885735232"/>
    <n v="67.278837758599494"/>
    <m/>
    <n v="70.737974385071098"/>
    <n v="69.238991319866201"/>
    <n v="71.090939471326493"/>
    <n v="67.446634326409196"/>
  </r>
  <r>
    <x v="15"/>
    <n v="70.381450027653102"/>
    <n v="69.680566600048095"/>
    <n v="71.192034255022804"/>
    <n v="73.366265330512604"/>
    <n v="70.234633944007101"/>
    <n v="68.154564647495505"/>
    <n v="67.390456465571702"/>
    <m/>
    <n v="70.601434643655693"/>
    <n v="68.6365376440788"/>
    <n v="71.186710114750795"/>
    <n v="67.274286310004797"/>
  </r>
  <r>
    <x v="16"/>
    <n v="70.284315151963298"/>
    <n v="69.580966365313699"/>
    <n v="71.097871288206505"/>
    <n v="73.180907588701999"/>
    <n v="70.529604804222103"/>
    <n v="67.656423111497901"/>
    <n v="67.267657419250099"/>
    <m/>
    <n v="70.488759922866706"/>
    <n v="68.530011141783106"/>
    <n v="71.148117844290198"/>
    <n v="67.190208091245495"/>
  </r>
  <r>
    <x v="17"/>
    <n v="70.122692372659699"/>
    <n v="69.624068884182606"/>
    <n v="70.692339396614898"/>
    <n v="72.841079095150903"/>
    <n v="69.516144256374204"/>
    <n v="67.790795887176102"/>
    <n v="67.128413599988903"/>
    <m/>
    <n v="70.605350968129699"/>
    <n v="68.6265697968539"/>
    <n v="71.021768439411503"/>
    <n v="67.0501509500494"/>
  </r>
  <r>
    <x v="18"/>
    <n v="70.143546402775897"/>
    <n v="69.642109401505195"/>
    <n v="70.716538914304095"/>
    <n v="72.972872693811397"/>
    <n v="69.2433493150495"/>
    <n v="67.474109200581495"/>
    <n v="67.257497998964993"/>
    <m/>
    <n v="70.512312048438403"/>
    <n v="68.987485223323702"/>
    <n v="70.977441713799394"/>
    <n v="67.078497324839105"/>
  </r>
  <r>
    <x v="19"/>
    <n v="70.294098679230601"/>
    <n v="69.802283230312497"/>
    <n v="70.855572735617301"/>
    <n v="72.985797492270905"/>
    <n v="69.535429421129805"/>
    <n v="67.124672984131706"/>
    <n v="67.707316332876005"/>
    <m/>
    <n v="70.540953340527594"/>
    <n v="69.344613068368702"/>
    <n v="71.144804096925498"/>
    <n v="67.418259414133601"/>
  </r>
  <r>
    <x v="20"/>
    <n v="70.696812923341994"/>
    <n v="70.567156578254298"/>
    <n v="70.826570617393699"/>
    <n v="72.8308752365175"/>
    <n v="69.393495094403704"/>
    <n v="67.343029153154106"/>
    <n v="68.0399714333291"/>
    <m/>
    <n v="71.166403696379305"/>
    <n v="70.750739144971604"/>
    <n v="71.226133289804594"/>
    <n v="68.274284281716803"/>
  </r>
  <r>
    <x v="21"/>
    <n v="70.943381885484001"/>
    <n v="70.765272934371694"/>
    <n v="71.130792940384097"/>
    <n v="73.2752065603961"/>
    <n v="69.724977309120305"/>
    <n v="67.879144285805097"/>
    <n v="67.895575134089597"/>
    <m/>
    <n v="71.391135940588498"/>
    <n v="70.878327096689802"/>
    <n v="71.403313697012607"/>
    <n v="68.475245612312193"/>
  </r>
  <r>
    <x v="22"/>
    <n v="71.060782025348104"/>
    <n v="70.823362037881907"/>
    <n v="71.318831364678303"/>
    <n v="73.535692345947496"/>
    <n v="70.027147492808496"/>
    <n v="67.861694449829898"/>
    <n v="67.8458270104109"/>
    <m/>
    <n v="71.457794281679597"/>
    <n v="70.979150971851197"/>
    <n v="71.533432368219493"/>
    <n v="68.432459763999503"/>
  </r>
  <r>
    <x v="23"/>
    <n v="71.038173151645296"/>
    <n v="70.865463997580093"/>
    <n v="71.2191162263791"/>
    <n v="73.225711238950794"/>
    <n v="70.018414916172304"/>
    <n v="68.1100502537344"/>
    <n v="68.099518234734006"/>
    <m/>
    <n v="71.610138584407395"/>
    <n v="70.9228253983473"/>
    <n v="71.556462401590593"/>
    <n v="68.264365226940399"/>
  </r>
  <r>
    <x v="24"/>
    <n v="71.249074948078501"/>
    <n v="70.965389439202596"/>
    <n v="71.562191759572499"/>
    <n v="73.656019758069505"/>
    <n v="70.126962453367895"/>
    <n v="68.476633781046701"/>
    <n v="68.438379427344103"/>
    <m/>
    <n v="71.679103958894103"/>
    <n v="70.949279801550205"/>
    <n v="71.702382594286902"/>
    <n v="68.503545326699296"/>
  </r>
  <r>
    <x v="25"/>
    <n v="71.297216224101803"/>
    <n v="70.936288799410207"/>
    <n v="71.7023633192793"/>
    <n v="73.8381859731426"/>
    <n v="70.388368771813802"/>
    <n v="68.689592990448801"/>
    <n v="68.334566543860007"/>
    <m/>
    <n v="71.497527600071095"/>
    <n v="70.923349690207004"/>
    <n v="71.903490081042094"/>
    <n v="68.799529529915901"/>
  </r>
  <r>
    <x v="26"/>
    <n v="71.365551158402099"/>
    <n v="70.898190724202095"/>
    <n v="71.897507717927496"/>
    <n v="73.840513814038601"/>
    <n v="71.201478544549602"/>
    <n v="68.730705721343398"/>
    <n v="68.471599220530706"/>
    <m/>
    <n v="71.528160413307603"/>
    <n v="70.934488771486002"/>
    <n v="72.024384211213302"/>
    <n v="68.440520862236099"/>
  </r>
  <r>
    <x v="27"/>
    <n v="71.358784077446103"/>
    <n v="70.871885860624403"/>
    <n v="71.914025662192998"/>
    <n v="73.881364532258303"/>
    <n v="70.793332975560602"/>
    <n v="68.654105070228596"/>
    <n v="68.8596793628965"/>
    <m/>
    <n v="71.489693139127596"/>
    <n v="71.105083832531903"/>
    <n v="71.852642160933499"/>
    <n v="68.324071916959795"/>
  </r>
  <r>
    <x v="28"/>
    <n v="71.380284305085198"/>
    <n v="70.831630241324405"/>
    <n v="72.009111163734701"/>
    <n v="73.976943779945898"/>
    <n v="71.296651340485894"/>
    <n v="68.947852449036404"/>
    <n v="68.506244298863095"/>
    <m/>
    <n v="71.479043742399298"/>
    <n v="70.948528226568101"/>
    <n v="71.952804495624093"/>
    <n v="68.246988340069095"/>
  </r>
  <r>
    <x v="29"/>
    <n v="71.656887971861295"/>
    <n v="71.175252588094494"/>
    <n v="72.205753614841399"/>
    <n v="74.061400308858595"/>
    <n v="71.484356416924001"/>
    <n v="69.166706670278998"/>
    <n v="68.991993067973098"/>
    <m/>
    <n v="71.748141835145205"/>
    <n v="71.364973424632893"/>
    <n v="72.237625486207506"/>
    <n v="68.760058673834195"/>
  </r>
  <r>
    <x v="30"/>
    <n v="71.956440728174897"/>
    <n v="71.585825466437797"/>
    <n v="72.372901772560596"/>
    <n v="74.147892844482499"/>
    <n v="71.4907436844221"/>
    <n v="69.276969309109504"/>
    <n v="69.535451514670598"/>
    <m/>
    <n v="72.127742966814793"/>
    <n v="71.746215522541505"/>
    <n v="72.542189855709907"/>
    <n v="69.3381097772846"/>
  </r>
  <r>
    <x v="31"/>
    <n v="72.008931576788797"/>
    <n v="71.864758459433702"/>
    <n v="72.155529161342201"/>
    <n v="73.906476243556597"/>
    <n v="71.599739705402101"/>
    <n v="69.233361396037097"/>
    <n v="69.017842989127502"/>
    <m/>
    <n v="72.483485721490794"/>
    <n v="71.975715379727603"/>
    <n v="72.787067654372095"/>
    <n v="69.461284960616894"/>
  </r>
  <r>
    <x v="32"/>
    <n v="72.520301961016301"/>
    <n v="72.499988105550997"/>
    <n v="72.5191207298747"/>
    <n v="74.405475537117098"/>
    <n v="71.915663865005101"/>
    <n v="69.464293766436001"/>
    <n v="69.117938678249999"/>
    <m/>
    <n v="73.048359843490204"/>
    <n v="72.882940621167705"/>
    <n v="73.497977473889193"/>
    <n v="69.993730292481899"/>
  </r>
  <r>
    <x v="33"/>
    <n v="72.617998567446406"/>
    <n v="72.546139795547603"/>
    <n v="72.6782078401409"/>
    <n v="74.573301739469997"/>
    <n v="72.113802666832399"/>
    <n v="69.644784661753704"/>
    <n v="69.211225632157493"/>
    <m/>
    <n v="73.062272359744199"/>
    <n v="72.815913149541203"/>
    <n v="73.820683627342305"/>
    <n v="70.112726128078094"/>
  </r>
  <r>
    <x v="34"/>
    <n v="72.979255928648399"/>
    <n v="72.846441420775705"/>
    <n v="73.111978058339602"/>
    <n v="74.793533097773405"/>
    <n v="72.688289598567195"/>
    <n v="70.126679664271805"/>
    <n v="70.042156011191494"/>
    <m/>
    <n v="73.333968322899395"/>
    <n v="73.061549217187803"/>
    <n v="74.2279761231393"/>
    <n v="70.497868711499805"/>
  </r>
  <r>
    <x v="35"/>
    <n v="73.396431950662901"/>
    <n v="73.286302786650694"/>
    <n v="73.501974509579398"/>
    <n v="75.234026868721102"/>
    <n v="72.893336055724305"/>
    <n v="70.764889449201803"/>
    <n v="70.411850206697594"/>
    <m/>
    <n v="73.937334192184295"/>
    <n v="73.683986184009498"/>
    <n v="74.569981453442196"/>
    <n v="70.334838844791406"/>
  </r>
  <r>
    <x v="36"/>
    <n v="74.234712163967998"/>
    <n v="74.064786212246304"/>
    <n v="74.411219490590696"/>
    <n v="76.095336096320196"/>
    <n v="73.994986006596207"/>
    <n v="71.330044393616603"/>
    <n v="71.354154719978695"/>
    <m/>
    <n v="74.690825234484294"/>
    <n v="74.507673480948199"/>
    <n v="75.129124091665105"/>
    <n v="71.243508862796801"/>
  </r>
  <r>
    <x v="37"/>
    <n v="74.935165222909603"/>
    <n v="74.706583295091605"/>
    <n v="75.181326094420996"/>
    <n v="76.842825966822005"/>
    <n v="74.552617781233906"/>
    <n v="73.192715562741498"/>
    <n v="72.082951351601594"/>
    <m/>
    <n v="75.339371300254797"/>
    <n v="75.001767375941199"/>
    <n v="75.502514606808305"/>
    <n v="72.137914495309303"/>
  </r>
  <r>
    <x v="38"/>
    <n v="76.043909500590402"/>
    <n v="75.732582743592701"/>
    <n v="76.388287023673499"/>
    <n v="77.897683816293593"/>
    <n v="76.271793358373003"/>
    <n v="74.664584841650694"/>
    <n v="73.112994776203905"/>
    <m/>
    <n v="76.408894973134394"/>
    <n v="76.109348314548598"/>
    <n v="76.253150750077097"/>
    <n v="73.088036240212801"/>
  </r>
  <r>
    <x v="39"/>
    <n v="77.1984966198129"/>
    <n v="76.540324409677297"/>
    <n v="77.955796437468507"/>
    <n v="78.931460850395197"/>
    <n v="78.647425303747895"/>
    <n v="76.000426272080603"/>
    <n v="75.332382629650695"/>
    <m/>
    <n v="77.070402933166207"/>
    <n v="77.472776093028202"/>
    <n v="76.899556375374999"/>
    <n v="73.843240488281694"/>
  </r>
  <r>
    <x v="40"/>
    <n v="78.008168334879699"/>
    <n v="77.597198632209995"/>
    <n v="78.4706000376692"/>
    <n v="79.821910442005304"/>
    <n v="78.470573634514096"/>
    <n v="75.434831277271698"/>
    <n v="75.851248308408998"/>
    <m/>
    <n v="77.921618642478805"/>
    <n v="78.638220602243806"/>
    <n v="78.268087163353897"/>
    <n v="75.234035420650102"/>
  </r>
  <r>
    <x v="41"/>
    <n v="78.598521824506307"/>
    <n v="78.170936295355801"/>
    <n v="79.080547488448701"/>
    <n v="80.671804054268506"/>
    <n v="78.738658063228698"/>
    <n v="75.818043315336396"/>
    <n v="76.239206595507696"/>
    <m/>
    <n v="78.649207461142595"/>
    <n v="78.638407888553402"/>
    <n v="78.726634676718803"/>
    <n v="75.985515340903703"/>
  </r>
  <r>
    <x v="42"/>
    <n v="79.059259625257894"/>
    <n v="78.757189767831207"/>
    <n v="79.391550299964607"/>
    <n v="80.741172138762593"/>
    <n v="79.511895728054299"/>
    <n v="76.492959405242004"/>
    <n v="76.622734577326"/>
    <m/>
    <n v="79.063503011139304"/>
    <n v="79.483847362114503"/>
    <n v="79.602581644870298"/>
    <n v="76.671615851727395"/>
  </r>
  <r>
    <x v="43"/>
    <n v="79.225183414509601"/>
    <n v="78.7604872172912"/>
    <n v="79.7512134863141"/>
    <n v="81.083921081397506"/>
    <n v="79.947560288212003"/>
    <n v="76.957065319028203"/>
    <n v="76.923605951069106"/>
    <m/>
    <n v="78.871496786865194"/>
    <n v="79.845930606977305"/>
    <n v="79.497582601536394"/>
    <n v="76.932863410615298"/>
  </r>
  <r>
    <x v="44"/>
    <n v="79.747573296529694"/>
    <n v="79.453409432740898"/>
    <n v="80.070201636326203"/>
    <n v="81.413827565610404"/>
    <n v="79.969054880451907"/>
    <n v="77.341293465543004"/>
    <n v="77.482317323730996"/>
    <m/>
    <n v="79.5597682343043"/>
    <n v="80.4049284217663"/>
    <n v="80.490449745874898"/>
    <n v="77.628120373827997"/>
  </r>
  <r>
    <x v="45"/>
    <n v="79.772782251288703"/>
    <n v="79.389449818052199"/>
    <n v="80.201661579213607"/>
    <n v="81.377506237917004"/>
    <n v="80.498015273515605"/>
    <n v="77.734547985683093"/>
    <n v="77.588093142083594"/>
    <m/>
    <n v="79.782976663268997"/>
    <n v="80.163624892214202"/>
    <n v="80.318626555634594"/>
    <n v="76.966523010767901"/>
  </r>
  <r>
    <x v="46"/>
    <n v="79.644603014886698"/>
    <n v="79.182818731408602"/>
    <n v="80.167016201427501"/>
    <n v="80.967003937323199"/>
    <n v="81.160236209732702"/>
    <n v="77.501585356363506"/>
    <n v="77.899639191742494"/>
    <m/>
    <n v="79.538726919661599"/>
    <n v="80.225631554499898"/>
    <n v="80.2634538356549"/>
    <n v="76.531592397275205"/>
  </r>
  <r>
    <x v="47"/>
    <n v="79.877734234298799"/>
    <n v="79.403575992077606"/>
    <n v="80.414811521344205"/>
    <n v="81.383791342184693"/>
    <n v="81.088644255641199"/>
    <n v="78.0974675138458"/>
    <n v="77.925745362827996"/>
    <m/>
    <n v="79.756753437784994"/>
    <n v="80.149711515076206"/>
    <n v="80.686473596174295"/>
    <n v="76.956346191997497"/>
  </r>
  <r>
    <x v="48"/>
    <n v="80.442803617689293"/>
    <n v="79.9504180207947"/>
    <n v="81.001404132941502"/>
    <n v="81.725632381725703"/>
    <n v="82.201793385333701"/>
    <n v="78.450720360325207"/>
    <n v="78.696718477379406"/>
    <m/>
    <n v="80.390238503991299"/>
    <n v="80.490884063138296"/>
    <n v="81.081029004834903"/>
    <n v="77.528864967339004"/>
  </r>
  <r>
    <x v="49"/>
    <n v="80.817791730540307"/>
    <n v="80.330308732095105"/>
    <n v="81.370418669550503"/>
    <n v="82.233116883307503"/>
    <n v="81.739145899764594"/>
    <n v="79.084774630802599"/>
    <n v="79.437144797476293"/>
    <m/>
    <n v="80.665353610180901"/>
    <n v="80.979634952584703"/>
    <n v="81.601170410703702"/>
    <n v="78.035086679590705"/>
  </r>
  <r>
    <x v="50"/>
    <n v="81.699661758844201"/>
    <n v="81.188971487695298"/>
    <n v="82.2796354528911"/>
    <n v="83.248167502266"/>
    <n v="82.178554873420794"/>
    <n v="79.994941417823995"/>
    <n v="80.526810020962998"/>
    <m/>
    <n v="81.455783091567596"/>
    <n v="82.085925586006297"/>
    <n v="82.302515013282004"/>
    <n v="78.919041649773604"/>
  </r>
  <r>
    <x v="51"/>
    <n v="82.234769983786407"/>
    <n v="81.645040081404503"/>
    <n v="82.908745768401104"/>
    <n v="83.456647792900199"/>
    <n v="83.707100654570496"/>
    <n v="81.096949276714497"/>
    <n v="81.235662415277602"/>
    <m/>
    <n v="81.8787401520038"/>
    <n v="82.683354108238206"/>
    <n v="82.533372058741307"/>
    <n v="79.437006837924599"/>
  </r>
  <r>
    <x v="52"/>
    <n v="82.227596839210605"/>
    <n v="81.634506800861402"/>
    <n v="82.905579319775995"/>
    <n v="83.639958774974204"/>
    <n v="83.372558243496499"/>
    <n v="81.010174744473105"/>
    <n v="81.097433489252197"/>
    <m/>
    <n v="81.770069042204"/>
    <n v="82.588296169737006"/>
    <n v="82.746769363879906"/>
    <n v="79.685074740989293"/>
  </r>
  <r>
    <x v="53"/>
    <n v="82.165439138970996"/>
    <n v="81.598189183874993"/>
    <n v="82.812650440169904"/>
    <n v="83.731438950094898"/>
    <n v="83.259327352477399"/>
    <n v="80.855182896133101"/>
    <n v="80.569955213665494"/>
    <m/>
    <n v="81.704276262391005"/>
    <n v="82.837373010594106"/>
    <n v="82.585702662724799"/>
    <n v="79.511290502759707"/>
  </r>
  <r>
    <x v="54"/>
    <n v="82.105064955248693"/>
    <n v="81.551840665095895"/>
    <n v="82.735583380886695"/>
    <n v="83.493600847465004"/>
    <n v="83.6895354323959"/>
    <n v="81.157174802965002"/>
    <n v="80.311331195842101"/>
    <m/>
    <n v="81.900695408093597"/>
    <n v="82.681097780828793"/>
    <n v="82.559303552280895"/>
    <n v="78.867630549434296"/>
  </r>
  <r>
    <x v="55"/>
    <n v="81.860631480841903"/>
    <n v="81.401811049086902"/>
    <n v="82.378736912234402"/>
    <n v="82.708102952383996"/>
    <n v="83.647480630946802"/>
    <n v="81.471548480891201"/>
    <n v="80.561390886618497"/>
    <m/>
    <n v="81.696005085166505"/>
    <n v="82.460025497726704"/>
    <n v="82.531132036804493"/>
    <n v="78.886768792245206"/>
  </r>
  <r>
    <x v="56"/>
    <n v="82.372647458828496"/>
    <n v="82.297087194222001"/>
    <n v="82.433852686155703"/>
    <n v="82.849486355580297"/>
    <n v="83.468244489469896"/>
    <n v="81.190871591936798"/>
    <n v="80.714305602180303"/>
    <m/>
    <n v="82.739154077305898"/>
    <n v="83.651126428225695"/>
    <n v="82.957961614001107"/>
    <n v="79.287508447720697"/>
  </r>
  <r>
    <x v="57"/>
    <n v="82.567887636556307"/>
    <n v="82.423598572243705"/>
    <n v="82.710926795416796"/>
    <n v="83.362451793559501"/>
    <n v="83.531065810990597"/>
    <n v="81.264417766861001"/>
    <n v="80.650772072033405"/>
    <m/>
    <n v="82.721856807337204"/>
    <n v="83.742229868958105"/>
    <n v="83.149189970305798"/>
    <n v="79.830499132093294"/>
  </r>
  <r>
    <x v="58"/>
    <n v="82.845119895532804"/>
    <n v="82.494424779386307"/>
    <n v="83.234030602297096"/>
    <n v="83.480452024128994"/>
    <n v="84.179675312584294"/>
    <n v="81.593950675810206"/>
    <n v="82.142260854122497"/>
    <m/>
    <n v="82.679342815256604"/>
    <n v="83.927332843682095"/>
    <n v="83.519159885595101"/>
    <n v="79.971940462241605"/>
  </r>
  <r>
    <x v="59"/>
    <n v="83.321857359366703"/>
    <n v="83.046476634501303"/>
    <n v="83.620851006810497"/>
    <n v="83.582768131924794"/>
    <n v="84.695739268050403"/>
    <n v="82.354474046951907"/>
    <n v="83.0282983625398"/>
    <m/>
    <n v="83.483873919368094"/>
    <n v="84.203427100291904"/>
    <n v="83.176058501660606"/>
    <n v="80.495357813035099"/>
  </r>
  <r>
    <x v="60"/>
    <n v="84.013990334764202"/>
    <n v="83.632584760549904"/>
    <n v="84.439088666800004"/>
    <n v="84.531879890829501"/>
    <n v="85.838308235901494"/>
    <n v="82.645471708452803"/>
    <n v="83.346725819703295"/>
    <m/>
    <n v="84.077905262102405"/>
    <n v="84.711436795904703"/>
    <n v="83.449802832855895"/>
    <n v="81.283031397775503"/>
  </r>
  <r>
    <x v="61"/>
    <n v="84.300315394083995"/>
    <n v="83.876983297006603"/>
    <n v="84.775276208907101"/>
    <n v="84.996401056955605"/>
    <n v="85.937469561946202"/>
    <n v="82.957433966271395"/>
    <n v="83.589305096904994"/>
    <m/>
    <n v="84.289252817794207"/>
    <n v="85.076393077611996"/>
    <n v="83.695975317084304"/>
    <n v="81.502324701594105"/>
  </r>
  <r>
    <x v="62"/>
    <n v="84.437661941132305"/>
    <n v="84.010343588308103"/>
    <n v="84.917324987137405"/>
    <n v="84.883034890036399"/>
    <n v="86.515275470076602"/>
    <n v="83.496747724951106"/>
    <n v="83.855293898537397"/>
    <m/>
    <n v="84.453923176649894"/>
    <n v="84.937962341148406"/>
    <n v="83.699681352484006"/>
    <n v="81.874934299623604"/>
  </r>
  <r>
    <x v="63"/>
    <n v="84.874473933222603"/>
    <n v="84.266874193635701"/>
    <n v="85.568820590873599"/>
    <n v="85.477228281899201"/>
    <n v="86.910122370987395"/>
    <n v="84.449753480764997"/>
    <n v="84.816038472219802"/>
    <m/>
    <n v="84.835199490949407"/>
    <n v="84.832543003454802"/>
    <n v="84.286433695494793"/>
    <n v="81.973510633724899"/>
  </r>
  <r>
    <x v="64"/>
    <n v="84.888697284646298"/>
    <n v="84.352789797616197"/>
    <n v="85.497605211462599"/>
    <n v="85.657052777275197"/>
    <n v="86.334923108866903"/>
    <n v="84.460691335586503"/>
    <n v="84.564581497346396"/>
    <m/>
    <n v="84.875220318303406"/>
    <n v="85.036258966421002"/>
    <n v="84.477831609593196"/>
    <n v="82.024907251107194"/>
  </r>
  <r>
    <x v="65"/>
    <n v="84.880883079308802"/>
    <n v="84.432659583406405"/>
    <n v="85.385303060761501"/>
    <n v="85.739788152271103"/>
    <n v="86.631325490035394"/>
    <n v="84.088968997813495"/>
    <n v="83.633239026600293"/>
    <m/>
    <n v="84.682299638121705"/>
    <n v="85.828651790987607"/>
    <n v="84.652049427078396"/>
    <n v="82.140343464580198"/>
  </r>
  <r>
    <x v="66"/>
    <n v="84.897488754603501"/>
    <n v="84.523854890221003"/>
    <n v="85.313016441714296"/>
    <n v="85.601393563537599"/>
    <n v="86.471290827552806"/>
    <n v="83.987863000867904"/>
    <n v="83.822189588232007"/>
    <m/>
    <n v="84.853135522026605"/>
    <n v="85.627968317833194"/>
    <n v="84.702184645117498"/>
    <n v="82.310041198330595"/>
  </r>
  <r>
    <x v="67"/>
    <n v="84.987929088288894"/>
    <n v="84.512682417196501"/>
    <n v="85.524514393319507"/>
    <n v="85.7312842089448"/>
    <n v="86.781372355227603"/>
    <n v="84.368077590221205"/>
    <n v="84.100718174213696"/>
    <m/>
    <n v="84.902009150264405"/>
    <n v="85.654324932940497"/>
    <n v="84.812038741717402"/>
    <n v="82.032358598648699"/>
  </r>
  <r>
    <x v="68"/>
    <n v="85.206306560617406"/>
    <n v="84.9227015574305"/>
    <n v="85.514441132993696"/>
    <n v="85.795705923381604"/>
    <n v="86.633964051109501"/>
    <n v="84.547153470061403"/>
    <n v="83.979705540129302"/>
    <m/>
    <n v="85.0132584675587"/>
    <n v="86.029626068151501"/>
    <n v="85.990538357893797"/>
    <n v="82.968743020001199"/>
  </r>
  <r>
    <x v="69"/>
    <n v="85.423004175456896"/>
    <n v="85.097396958084303"/>
    <n v="85.781115805891105"/>
    <n v="86.271072329303195"/>
    <n v="86.857854792949396"/>
    <n v="84.560213298634096"/>
    <n v="83.824475822467605"/>
    <m/>
    <n v="85.262810603329399"/>
    <n v="85.925718906565606"/>
    <n v="86.188286990385294"/>
    <n v="83.192102507928098"/>
  </r>
  <r>
    <x v="70"/>
    <n v="85.654260490815105"/>
    <n v="85.228928073503099"/>
    <n v="86.131131029941798"/>
    <n v="86.649822095764307"/>
    <n v="86.819558420778307"/>
    <n v="84.977896810392295"/>
    <n v="84.455241921915302"/>
    <m/>
    <n v="85.163996092426203"/>
    <n v="86.186657642168996"/>
    <n v="86.207935833611998"/>
    <n v="83.909597468989901"/>
  </r>
  <r>
    <x v="71"/>
    <n v="86.094837996974903"/>
    <n v="85.648033262231607"/>
    <n v="86.597142283650101"/>
    <n v="86.988623996082296"/>
    <n v="87.285669855062693"/>
    <n v="85.529693388305006"/>
    <n v="85.222406426276905"/>
    <m/>
    <n v="85.619631367835098"/>
    <n v="86.527873401527799"/>
    <n v="86.459348117682893"/>
    <n v="84.379658977911902"/>
  </r>
  <r>
    <x v="72"/>
    <n v="86.679583536178797"/>
    <n v="86.2061655816524"/>
    <n v="87.213397375126306"/>
    <n v="87.743927585813694"/>
    <n v="87.617818877737506"/>
    <n v="86.295003045185794"/>
    <n v="85.714788636345901"/>
    <m/>
    <n v="86.054364491449206"/>
    <n v="87.192880966194593"/>
    <n v="87.016707914411398"/>
    <n v="85.186109617966906"/>
  </r>
  <r>
    <x v="73"/>
    <n v="87.1606213395727"/>
    <n v="86.719282384624293"/>
    <n v="87.656039080511505"/>
    <n v="88.327834701179299"/>
    <n v="88.008105161608398"/>
    <n v="86.624284083947401"/>
    <n v="85.878105075421104"/>
    <m/>
    <n v="86.408943842479999"/>
    <n v="87.680998275152206"/>
    <n v="87.416821635678403"/>
    <n v="86.231464663824596"/>
  </r>
  <r>
    <x v="74"/>
    <n v="87.454201232613002"/>
    <n v="87.029511298021802"/>
    <n v="87.929675998914007"/>
    <n v="88.266912927533397"/>
    <n v="88.597145467979004"/>
    <n v="86.727893793287805"/>
    <n v="86.750927303767995"/>
    <m/>
    <n v="86.664729085066895"/>
    <n v="87.947406224844599"/>
    <n v="87.897736768844496"/>
    <n v="86.659753159888993"/>
  </r>
  <r>
    <x v="75"/>
    <n v="88.171395936715399"/>
    <n v="87.354651006885604"/>
    <n v="89.113821134161896"/>
    <n v="89.6085199770841"/>
    <n v="89.787799111744903"/>
    <n v="87.507845469257902"/>
    <n v="87.638424772663001"/>
    <m/>
    <n v="86.905588773424"/>
    <n v="88.446753749548705"/>
    <n v="88.070051839367196"/>
    <n v="87.127017355836401"/>
  </r>
  <r>
    <x v="76"/>
    <n v="88.476337081723003"/>
    <n v="87.761054736787599"/>
    <n v="89.297745257058097"/>
    <n v="89.584204039285893"/>
    <n v="90.151902900641304"/>
    <n v="88.017409627459401"/>
    <n v="88.091092437526697"/>
    <m/>
    <n v="87.590215659793301"/>
    <n v="88.638982817685601"/>
    <n v="88.310148604854007"/>
    <n v="87.024872698862893"/>
  </r>
  <r>
    <x v="77"/>
    <n v="88.511525909962501"/>
    <n v="87.824083420166602"/>
    <n v="89.299745750776694"/>
    <n v="90.133056589676201"/>
    <n v="89.495944927718696"/>
    <n v="88.443930415620301"/>
    <n v="87.209774910075197"/>
    <m/>
    <n v="87.524572002679605"/>
    <n v="88.945186018981005"/>
    <n v="88.345439628104899"/>
    <n v="87.230416400681307"/>
  </r>
  <r>
    <x v="78"/>
    <n v="88.667148541033498"/>
    <n v="88.066311112148597"/>
    <n v="89.352108951157106"/>
    <n v="89.954159390562495"/>
    <n v="90.184422788849901"/>
    <n v="88.327760568921704"/>
    <n v="87.288878954129501"/>
    <m/>
    <n v="87.898088405398298"/>
    <n v="89.0430811567456"/>
    <n v="88.370519041806304"/>
    <n v="87.340949019798103"/>
  </r>
  <r>
    <x v="79"/>
    <n v="89.098048995397406"/>
    <n v="88.598297026087295"/>
    <n v="89.662397696403701"/>
    <n v="90.141323256434106"/>
    <n v="90.249770626200601"/>
    <n v="88.519522130567694"/>
    <n v="88.181960131991602"/>
    <m/>
    <n v="88.320277303354402"/>
    <n v="89.771518851353207"/>
    <n v="88.594793821466496"/>
    <n v="88.139483328524506"/>
  </r>
  <r>
    <x v="80"/>
    <n v="89.802691194167195"/>
    <n v="89.523415042978499"/>
    <n v="90.104058035325096"/>
    <n v="90.680467642550795"/>
    <n v="90.952621982433001"/>
    <n v="87.985751426876504"/>
    <n v="88.394179019706996"/>
    <m/>
    <n v="89.208027166747698"/>
    <n v="90.7433183634366"/>
    <n v="89.420038373651707"/>
    <n v="89.172040765794904"/>
  </r>
  <r>
    <x v="81"/>
    <n v="90.118939592923098"/>
    <n v="89.957019495943499"/>
    <n v="90.280345628557598"/>
    <n v="90.532284512790696"/>
    <n v="91.165466833274493"/>
    <n v="88.332808692585203"/>
    <n v="89.317177584470798"/>
    <m/>
    <n v="89.814395236928704"/>
    <n v="91.153925407627895"/>
    <n v="90.121483513791105"/>
    <n v="89.005428209437397"/>
  </r>
  <r>
    <x v="82"/>
    <n v="90.3923317149425"/>
    <n v="89.872046483157007"/>
    <n v="90.980696242060603"/>
    <n v="91.147396531869404"/>
    <n v="91.717693230399703"/>
    <n v="89.349659087288202"/>
    <n v="90.2897639322304"/>
    <m/>
    <n v="89.607791578925799"/>
    <n v="91.332247034558407"/>
    <n v="89.896159920236499"/>
    <n v="89.076490927371694"/>
  </r>
  <r>
    <x v="83"/>
    <n v="90.752036903797503"/>
    <n v="90.427087632107202"/>
    <n v="91.107498830896304"/>
    <n v="91.063462307272104"/>
    <n v="91.966928285572195"/>
    <n v="90.0085478853442"/>
    <n v="90.689889403716606"/>
    <m/>
    <n v="90.196838242324503"/>
    <n v="91.738926998146695"/>
    <n v="90.206417257005796"/>
    <n v="89.795528523697499"/>
  </r>
  <r>
    <x v="84"/>
    <n v="91.266739085519802"/>
    <n v="91.248021545358199"/>
    <n v="91.257092606984699"/>
    <n v="91.077430594537802"/>
    <n v="92.186292899954694"/>
    <n v="91.043914463750497"/>
    <n v="90.873304649393901"/>
    <m/>
    <n v="91.133530901836096"/>
    <n v="92.1933701644613"/>
    <n v="91.031229885967605"/>
    <n v="90.642753296208298"/>
  </r>
  <r>
    <x v="85"/>
    <n v="91.976326128986202"/>
    <n v="91.693158283992801"/>
    <n v="92.281569627929898"/>
    <n v="91.917726498672096"/>
    <n v="93.547548891605004"/>
    <n v="91.678259092087799"/>
    <n v="92.153114827338101"/>
    <m/>
    <n v="91.546557747896699"/>
    <n v="92.340483719603398"/>
    <n v="91.806904456525103"/>
    <n v="91.316419424645105"/>
  </r>
  <r>
    <x v="86"/>
    <n v="92.804957279355193"/>
    <n v="92.404655890329295"/>
    <n v="93.249495612204996"/>
    <n v="93.010690247148702"/>
    <n v="94.757631737798107"/>
    <n v="91.7908476901341"/>
    <n v="92.806091945577705"/>
    <m/>
    <n v="92.0772222647837"/>
    <n v="93.0598949881349"/>
    <n v="92.282471639406594"/>
    <n v="92.649695194846004"/>
  </r>
  <r>
    <x v="87"/>
    <n v="92.951585395099897"/>
    <n v="92.208945344950607"/>
    <n v="93.804028275790401"/>
    <n v="93.507835659788398"/>
    <n v="94.938304951574096"/>
    <n v="92.498220867746099"/>
    <n v="93.823936089302293"/>
    <m/>
    <n v="92.088006324154193"/>
    <n v="92.911977838859201"/>
    <n v="91.9292772203856"/>
    <n v="91.889574853865895"/>
  </r>
  <r>
    <x v="88"/>
    <n v="92.771207068899301"/>
    <n v="91.998388087881594"/>
    <n v="93.659676528011303"/>
    <n v="93.455087607835594"/>
    <n v="94.623143209812199"/>
    <n v="92.799432031128404"/>
    <n v="93.485950194029499"/>
    <m/>
    <n v="91.940061070044905"/>
    <n v="92.755688305962096"/>
    <n v="91.665425041601694"/>
    <n v="91.471496883750802"/>
  </r>
  <r>
    <x v="89"/>
    <n v="92.933644670631097"/>
    <n v="92.359661964207106"/>
    <n v="93.585109359612602"/>
    <n v="93.711262710914397"/>
    <n v="94.794177305109201"/>
    <n v="91.9784935287731"/>
    <n v="92.537300318369304"/>
    <m/>
    <n v="92.245052114445201"/>
    <n v="92.576811033560702"/>
    <n v="91.647001188853196"/>
    <n v="92.705818714211205"/>
  </r>
  <r>
    <x v="90"/>
    <n v="93.176412624234402"/>
    <n v="92.660199618693696"/>
    <n v="93.758949705649499"/>
    <n v="94.067800718528602"/>
    <n v="93.889343025344203"/>
    <n v="92.411169696053506"/>
    <n v="93.208534984735905"/>
    <m/>
    <n v="92.692159877216099"/>
    <n v="92.900071084278395"/>
    <n v="91.954045269818906"/>
    <n v="92.560211591306498"/>
  </r>
  <r>
    <x v="91"/>
    <n v="93.445382388537794"/>
    <n v="92.941018990077495"/>
    <n v="94.013704444305205"/>
    <n v="94.075281308229506"/>
    <n v="94.492267271378097"/>
    <n v="92.840034029129995"/>
    <n v="93.712459028425698"/>
    <m/>
    <n v="93.090114746196306"/>
    <n v="93.378553761475004"/>
    <n v="92.1680490223074"/>
    <n v="92.341725842289193"/>
  </r>
  <r>
    <x v="92"/>
    <n v="94.493759076456101"/>
    <n v="94.108676158725999"/>
    <n v="94.919570727184094"/>
    <n v="94.742305542988106"/>
    <n v="96.008085388710398"/>
    <n v="93.943319301069195"/>
    <n v="94.587953123380501"/>
    <m/>
    <n v="94.696373269879999"/>
    <n v="93.791383649418705"/>
    <n v="93.511525995063096"/>
    <n v="92.9105186807612"/>
  </r>
  <r>
    <x v="93"/>
    <n v="94.575030930792906"/>
    <n v="94.350781828083399"/>
    <n v="94.809152747533304"/>
    <n v="94.574625784097904"/>
    <n v="95.452690374440195"/>
    <n v="94.365803209411595"/>
    <n v="94.903462832985397"/>
    <m/>
    <n v="94.457688150583195"/>
    <n v="94.270654444597099"/>
    <n v="93.521133445873602"/>
    <n v="94.407684343385696"/>
  </r>
  <r>
    <x v="94"/>
    <n v="94.706817778577999"/>
    <n v="94.309515672077495"/>
    <n v="95.147116121737199"/>
    <n v="94.650859692365898"/>
    <n v="95.994914244811895"/>
    <n v="93.726714847909605"/>
    <n v="95.985143191526305"/>
    <m/>
    <n v="94.388416949943505"/>
    <n v="94.302071884526796"/>
    <n v="93.732034061051195"/>
    <n v="94.255676616228499"/>
  </r>
  <r>
    <x v="95"/>
    <n v="94.530869689745202"/>
    <n v="94.048885077395596"/>
    <n v="95.072143521617804"/>
    <n v="94.630680491102098"/>
    <n v="95.866075247498102"/>
    <n v="93.4763247021436"/>
    <n v="95.870557478981695"/>
    <m/>
    <n v="94.018200074767194"/>
    <n v="93.839736744494701"/>
    <n v="93.747391171562697"/>
    <n v="94.377536208680297"/>
  </r>
  <r>
    <x v="96"/>
    <n v="95.0061925803642"/>
    <n v="94.474443950173793"/>
    <n v="95.606602462945801"/>
    <n v="95.185758779071705"/>
    <n v="96.571044274355401"/>
    <n v="94.181919523242897"/>
    <n v="96.141000136690195"/>
    <m/>
    <n v="94.654004996275106"/>
    <n v="94.219610509785596"/>
    <n v="93.821211192245002"/>
    <n v="94.411355589192397"/>
  </r>
  <r>
    <x v="97"/>
    <n v="95.181663578374298"/>
    <n v="94.596944833905397"/>
    <n v="95.845135107040704"/>
    <n v="95.505350277095502"/>
    <n v="97.001825131943704"/>
    <n v="94.677635353464296"/>
    <n v="95.916333124874896"/>
    <m/>
    <n v="94.697124778098896"/>
    <n v="94.705248184728205"/>
    <n v="94.013614775003404"/>
    <n v="94.370496798484297"/>
  </r>
  <r>
    <x v="98"/>
    <n v="95.598925209816699"/>
    <n v="95.113712394914998"/>
    <n v="96.1436720881143"/>
    <n v="95.527420779363894"/>
    <n v="97.704970509742196"/>
    <n v="95.353050639787199"/>
    <n v="96.428169798831306"/>
    <m/>
    <n v="95.092221637809502"/>
    <n v="95.039536335279905"/>
    <n v="94.764931401201494"/>
    <n v="95.304212822541899"/>
  </r>
  <r>
    <x v="99"/>
    <n v="95.770053431144902"/>
    <n v="95.0313321059826"/>
    <n v="96.616839750852805"/>
    <n v="96.2926554076667"/>
    <n v="98.224797249195902"/>
    <n v="95.873260014167101"/>
    <n v="96.097006038987701"/>
    <m/>
    <n v="95.029127702174407"/>
    <n v="95.069229428911697"/>
    <n v="94.768536576891805"/>
    <n v="95.015463263658404"/>
  </r>
  <r>
    <x v="100"/>
    <n v="95.561372103108397"/>
    <n v="94.986047612327397"/>
    <n v="96.213515816841607"/>
    <n v="95.785834505162498"/>
    <n v="97.642221938979802"/>
    <n v="95.863280066196197"/>
    <n v="96.021274143263497"/>
    <m/>
    <n v="95.002046869753798"/>
    <n v="95.350462459119598"/>
    <n v="94.952610571424302"/>
    <n v="94.487672094133003"/>
  </r>
  <r>
    <x v="101"/>
    <n v="95.423008922995393"/>
    <n v="94.978594999213797"/>
    <n v="95.919198434140696"/>
    <n v="95.7136243210213"/>
    <n v="96.923873382909406"/>
    <n v="95.409941208786407"/>
    <n v="95.610792208114503"/>
    <m/>
    <n v="94.977838960454804"/>
    <n v="95.164042445362298"/>
    <n v="95.029062317560701"/>
    <n v="94.664825446806503"/>
  </r>
  <r>
    <x v="102"/>
    <n v="95.405202670453207"/>
    <n v="95.115820060746003"/>
    <n v="95.716651720102107"/>
    <n v="95.416890400632099"/>
    <n v="96.635751859969204"/>
    <n v="95.793269370658805"/>
    <n v="95.568626287828195"/>
    <m/>
    <n v="95.371319308645397"/>
    <n v="94.896915573025893"/>
    <n v="95.3521023076148"/>
    <n v="94.377297060862702"/>
  </r>
  <r>
    <x v="103"/>
    <n v="95.570817462635006"/>
    <n v="95.191042462623898"/>
    <n v="95.989926740364496"/>
    <n v="95.705194408674501"/>
    <n v="96.5569322605471"/>
    <n v="96.053387350522001"/>
    <n v="96.145322224956303"/>
    <m/>
    <n v="95.311916208452402"/>
    <n v="95.149769217019994"/>
    <n v="94.962820102535403"/>
    <n v="94.883639107051593"/>
  </r>
  <r>
    <x v="104"/>
    <n v="96.113545689692899"/>
    <n v="96.015641423168304"/>
    <n v="96.196567103823696"/>
    <n v="95.884977926504604"/>
    <n v="96.721024981749196"/>
    <n v="96.422643677409695"/>
    <n v="96.416329799800806"/>
    <m/>
    <n v="95.955418179895403"/>
    <n v="96.2233197592642"/>
    <n v="96.548520674530906"/>
    <n v="95.620708961021506"/>
  </r>
  <r>
    <x v="105"/>
    <n v="96.505950502593194"/>
    <n v="96.475246072725497"/>
    <n v="96.508754280527498"/>
    <n v="96.354980108144503"/>
    <n v="96.5892966070612"/>
    <n v="96.887172771541302"/>
    <n v="96.709310118717099"/>
    <m/>
    <n v="96.479116988638793"/>
    <n v="96.4250290425163"/>
    <n v="97.1990088916844"/>
    <n v="96.059582783524803"/>
  </r>
  <r>
    <x v="106"/>
    <n v="96.886365983082399"/>
    <n v="96.7162404395024"/>
    <n v="97.055181015512503"/>
    <n v="96.928544814941603"/>
    <n v="96.851587088127204"/>
    <n v="96.906096534206"/>
    <n v="97.605606721625094"/>
    <m/>
    <n v="96.778579767932399"/>
    <n v="96.780266951768994"/>
    <n v="97.426369852269204"/>
    <n v="96.026540039213899"/>
  </r>
  <r>
    <x v="107"/>
    <n v="97.083526477855102"/>
    <n v="96.766050776344599"/>
    <n v="97.427865751882095"/>
    <n v="97.417307298488694"/>
    <n v="96.959804898666803"/>
    <n v="96.970694696634595"/>
    <n v="98.021114321842802"/>
    <m/>
    <n v="96.828952099105294"/>
    <n v="96.887373658354903"/>
    <n v="96.990374458659204"/>
    <n v="96.248452197650707"/>
  </r>
  <r>
    <x v="108"/>
    <n v="97.784187629529498"/>
    <n v="97.382234932225899"/>
    <n v="98.228950598302902"/>
    <n v="97.992591151136907"/>
    <n v="97.885118176437103"/>
    <n v="97.799161670069907"/>
    <n v="99.272251170725994"/>
    <m/>
    <n v="97.691725045685601"/>
    <n v="97.345645176648901"/>
    <n v="97.644577938896603"/>
    <n v="96.294313904617695"/>
  </r>
  <r>
    <x v="109"/>
    <n v="97.891655956777498"/>
    <n v="97.555483492162793"/>
    <n v="98.257992747384904"/>
    <n v="97.6443814312304"/>
    <n v="97.997586869844795"/>
    <n v="98.439448381476595"/>
    <n v="100.015681023184"/>
    <m/>
    <n v="97.745496247822004"/>
    <n v="97.419985981186798"/>
    <n v="97.858689204991094"/>
    <n v="96.8880715326748"/>
  </r>
  <r>
    <x v="110"/>
    <n v="98.573258035589305"/>
    <n v="98.0192476635861"/>
    <n v="99.198947846159598"/>
    <n v="98.832417045154102"/>
    <n v="98.871102707959096"/>
    <n v="98.9311496005202"/>
    <n v="100.514515691574"/>
    <m/>
    <n v="98.219094580542603"/>
    <n v="97.918947205027905"/>
    <n v="98.0829921203173"/>
    <n v="97.401902597218694"/>
  </r>
  <r>
    <x v="111"/>
    <n v="98.864518255016506"/>
    <n v="98.381114314157898"/>
    <n v="99.405966291124798"/>
    <n v="98.866746066072693"/>
    <n v="99.624150977122795"/>
    <n v="98.861424654572005"/>
    <n v="100.71512764259801"/>
    <m/>
    <n v="98.491462681831095"/>
    <n v="98.162536869396106"/>
    <n v="98.701804859004199"/>
    <n v="98.014771426593995"/>
  </r>
  <r>
    <x v="112"/>
    <n v="98.823861206643898"/>
    <n v="98.195356541487001"/>
    <n v="99.538236151920302"/>
    <n v="99.274178642373499"/>
    <n v="99.6588910178546"/>
    <n v="98.776585041635499"/>
    <n v="100.298091136054"/>
    <m/>
    <n v="98.283349567917895"/>
    <n v="98.344802338884193"/>
    <n v="98.521146064970196"/>
    <n v="97.528367126011801"/>
  </r>
  <r>
    <x v="113"/>
    <n v="98.926698465028906"/>
    <n v="98.508684108900795"/>
    <n v="99.390201702724696"/>
    <n v="99.373660449446902"/>
    <n v="98.8215116082023"/>
    <n v="98.655304783338494"/>
    <n v="100.172248354397"/>
    <m/>
    <n v="98.789112100709602"/>
    <n v="98.135690477128307"/>
    <n v="98.709424182522994"/>
    <n v="97.863407593702803"/>
  </r>
  <r>
    <x v="114"/>
    <n v="99.325736623603902"/>
    <n v="98.923871039132493"/>
    <n v="99.769856099734895"/>
    <n v="99.879534219245798"/>
    <n v="98.873422379669506"/>
    <n v="98.741827681955499"/>
    <n v="100.625438558363"/>
    <m/>
    <n v="99.357982861000494"/>
    <n v="98.367914472038706"/>
    <n v="99.175693158127004"/>
    <n v="97.993422235937004"/>
  </r>
  <r>
    <x v="115"/>
    <n v="99.533750289456293"/>
    <n v="99.217016903301896"/>
    <n v="99.876347164453094"/>
    <n v="99.910648766095306"/>
    <n v="99.091417033615699"/>
    <n v="99.140348741073694"/>
    <n v="100.736424908812"/>
    <m/>
    <n v="99.508200547516594"/>
    <n v="98.479447766069796"/>
    <n v="99.239800364605202"/>
    <n v="98.983568762788806"/>
  </r>
  <r>
    <x v="116"/>
    <n v="100.143617696456"/>
    <n v="99.945998476061106"/>
    <n v="100.34405587772901"/>
    <n v="100.72760838979301"/>
    <n v="99.572609627729307"/>
    <n v="99.395145543244695"/>
    <n v="100.357651292521"/>
    <m/>
    <n v="100.28389063925"/>
    <n v="98.975924710167405"/>
    <n v="99.801814252892797"/>
    <n v="99.885934318742798"/>
  </r>
  <r>
    <x v="117"/>
    <n v="100.346706871878"/>
    <n v="100.272944309737"/>
    <n v="100.399477266665"/>
    <n v="100.68082346616301"/>
    <n v="99.604753974200904"/>
    <n v="99.730851604484599"/>
    <n v="100.618863370461"/>
    <m/>
    <n v="100.436123632405"/>
    <n v="99.397851383582093"/>
    <n v="99.915845267374607"/>
    <n v="100.72086940000599"/>
  </r>
  <r>
    <x v="118"/>
    <n v="100.528566297396"/>
    <n v="100.480439944357"/>
    <n v="100.550723036002"/>
    <n v="100.548433848081"/>
    <n v="100.210916287467"/>
    <n v="100.180891110948"/>
    <n v="100.975085266945"/>
    <m/>
    <n v="100.58473245918501"/>
    <n v="100.20550519416"/>
    <n v="100.323992290867"/>
    <n v="100.410675512176"/>
  </r>
  <r>
    <x v="119"/>
    <n v="100.64392618773699"/>
    <n v="100.52129429617"/>
    <n v="100.754828809317"/>
    <n v="100.732427502587"/>
    <n v="100.808077784248"/>
    <n v="100.59562228830301"/>
    <n v="100.79457917065901"/>
    <m/>
    <n v="100.598491442376"/>
    <n v="100.08365215874601"/>
    <n v="100.456958771502"/>
    <n v="100.645825359719"/>
  </r>
  <r>
    <x v="120"/>
    <n v="101.238093184276"/>
    <n v="101.087558875458"/>
    <n v="101.3742294629"/>
    <n v="101.256502614737"/>
    <n v="101.48823997191801"/>
    <n v="100.973571089556"/>
    <n v="101.939750981277"/>
    <n v="101.186048417606"/>
    <n v="101.00372951927601"/>
    <n v="101.20829035090701"/>
    <n v="101.503130290946"/>
    <n v="101.030194926463"/>
  </r>
  <r>
    <x v="121"/>
    <n v="101.858065813691"/>
    <n v="101.687071152307"/>
    <n v="102.012705490507"/>
    <n v="101.683606272993"/>
    <n v="102.124602485803"/>
    <n v="101.773204383851"/>
    <n v="102.68711876818701"/>
    <n v="103.09275387326601"/>
    <n v="101.66005752578999"/>
    <n v="101.741362190975"/>
    <n v="101.94150867883801"/>
    <n v="101.563710916118"/>
  </r>
  <r>
    <x v="122"/>
    <n v="102.27994749673201"/>
    <n v="101.847681937052"/>
    <n v="102.670868510914"/>
    <n v="102.361284815549"/>
    <n v="102.81956781127001"/>
    <n v="102.52682475018899"/>
    <n v="103.214534680028"/>
    <n v="103.795264350457"/>
    <n v="101.783324039921"/>
    <n v="101.969899366623"/>
    <n v="102.29032954711199"/>
    <n v="101.683024290636"/>
  </r>
  <r>
    <x v="123"/>
    <n v="103.136275634797"/>
    <n v="102.669227183356"/>
    <n v="103.55865269033799"/>
    <n v="103.41708146991201"/>
    <n v="103.67132139760901"/>
    <n v="103.12054836861699"/>
    <n v="103.81300592487899"/>
    <n v="104.437858839391"/>
    <n v="102.709982450222"/>
    <n v="102.705206181794"/>
    <n v="102.832872472738"/>
    <n v="102.33331699708501"/>
  </r>
  <r>
    <x v="124"/>
    <n v="103.31885533217"/>
    <n v="102.874963626918"/>
    <n v="103.720290495621"/>
    <n v="103.617930653597"/>
    <n v="103.92989687276101"/>
    <n v="103.368900207927"/>
    <n v="103.79004388854401"/>
    <n v="104.578500444314"/>
    <n v="102.82128696014099"/>
    <n v="103.09291365817199"/>
    <n v="103.101615578799"/>
    <n v="102.734165121692"/>
  </r>
  <r>
    <x v="125"/>
    <n v="103.73993026801"/>
    <n v="103.32105747322601"/>
    <n v="104.11873948397201"/>
    <n v="104.122110104977"/>
    <n v="103.999555044947"/>
    <n v="103.57806131219201"/>
    <n v="104.080617807072"/>
    <n v="104.917612281489"/>
    <n v="103.270123026129"/>
    <n v="103.03777543690801"/>
    <n v="103.287613768936"/>
    <n v="103.839138045609"/>
  </r>
  <r>
    <x v="126"/>
    <n v="103.657455089685"/>
    <n v="103.134344545464"/>
    <n v="104.130532113513"/>
    <n v="104.049016118208"/>
    <n v="104.323972347197"/>
    <n v="103.918964151518"/>
    <n v="104.12049991464799"/>
    <n v="104.886052502292"/>
    <n v="103.11253776772099"/>
    <n v="102.672103689791"/>
    <n v="103.565294320053"/>
    <n v="103.346584593785"/>
  </r>
  <r>
    <x v="127"/>
    <n v="103.656098306969"/>
    <n v="103.274522162636"/>
    <n v="104.001178154276"/>
    <n v="103.879659280152"/>
    <n v="104.512761343362"/>
    <n v="103.86771646530001"/>
    <n v="103.95529429884699"/>
    <n v="104.79373663855"/>
    <n v="103.078890866347"/>
    <n v="103.441311813257"/>
    <n v="103.8345994374"/>
    <n v="103.556711806876"/>
  </r>
  <r>
    <x v="128"/>
    <n v="103.93019277185"/>
    <n v="103.621444450383"/>
    <n v="104.209410498667"/>
    <n v="104.209732478276"/>
    <n v="104.84621360505901"/>
    <n v="103.836307778928"/>
    <n v="103.877014184869"/>
    <n v="104.915963979803"/>
    <n v="103.560662284782"/>
    <n v="103.551591417387"/>
    <n v="103.652536317818"/>
    <n v="103.93174061205499"/>
  </r>
  <r>
    <x v="129"/>
    <n v="103.836155081974"/>
    <n v="103.59026583932901"/>
    <n v="104.05852596015001"/>
    <n v="104.029747163465"/>
    <n v="104.760522204205"/>
    <n v="103.575719632768"/>
    <n v="103.861458686967"/>
    <n v="104.707771144456"/>
    <n v="103.456661006907"/>
    <n v="103.57929254134901"/>
    <n v="103.92406493262"/>
    <n v="103.93808893451801"/>
  </r>
  <r>
    <x v="130"/>
    <n v="103.94768476646399"/>
    <n v="103.82739370586199"/>
    <n v="104.056470447753"/>
    <n v="103.94690750818"/>
    <n v="104.840989935553"/>
    <n v="103.83055263532199"/>
    <n v="103.89776298774601"/>
    <n v="104.899303288608"/>
    <n v="103.777219221679"/>
    <n v="103.719156660686"/>
    <n v="104.117951401849"/>
    <n v="103.93320219913799"/>
  </r>
  <r>
    <x v="131"/>
    <n v="104.04581683199901"/>
    <n v="103.96632670596701"/>
    <n v="104.117704031869"/>
    <n v="104.051593492618"/>
    <n v="104.74853282684001"/>
    <n v="104.100999831458"/>
    <n v="103.838642057767"/>
    <n v="104.830201254447"/>
    <n v="103.822063933704"/>
    <n v="103.663609620858"/>
    <n v="104.771350069058"/>
    <n v="104.285248501065"/>
  </r>
  <r>
    <x v="132"/>
    <n v="104.366441047927"/>
    <n v="104.26851293001"/>
    <n v="104.455002716363"/>
    <n v="104.199753998855"/>
    <n v="105.97863973088801"/>
    <n v="104.24090917069501"/>
    <n v="104.43707187389801"/>
    <n v="105.41430823253"/>
    <n v="104.059956148919"/>
    <n v="104.21172777293199"/>
    <n v="104.91959779157099"/>
    <n v="104.751758630162"/>
  </r>
  <r>
    <x v="133"/>
    <n v="104.510512262804"/>
    <n v="104.39064900136"/>
    <n v="104.618911062286"/>
    <n v="104.327276529556"/>
    <n v="106.220326560164"/>
    <n v="104.757230597439"/>
    <n v="104.537370040242"/>
    <n v="105.573887778667"/>
    <n v="104.143504048764"/>
    <n v="104.375702197687"/>
    <n v="104.75016952407"/>
    <n v="105.22215347813101"/>
  </r>
  <r>
    <x v="134"/>
    <n v="104.653707987237"/>
    <n v="104.44106228285"/>
    <n v="104.846014944289"/>
    <n v="104.747528653784"/>
    <n v="106.483257243898"/>
    <n v="104.858452558454"/>
    <n v="104.29905716758699"/>
    <n v="105.559135091103"/>
    <n v="104.173473470964"/>
    <n v="104.44308511473901"/>
    <n v="105.238557330501"/>
    <n v="105.018325180874"/>
  </r>
  <r>
    <x v="135"/>
    <n v="104.974551162184"/>
    <n v="104.54056846647801"/>
    <n v="105.367025074907"/>
    <n v="105.22246097851"/>
    <n v="106.813897171647"/>
    <n v="105.99984159314"/>
    <n v="104.992954484675"/>
    <n v="105.47444368779701"/>
    <n v="104.45966269253699"/>
    <n v="104.286213946003"/>
    <n v="105.139239711717"/>
    <n v="104.689542167396"/>
  </r>
  <r>
    <x v="136"/>
    <n v="105.007932603396"/>
    <n v="104.68625570419201"/>
    <n v="105.29884233899701"/>
    <n v="105.08495500309201"/>
    <n v="107.14221630300599"/>
    <n v="106.294212854794"/>
    <n v="104.881143627348"/>
    <n v="105.30891827660901"/>
    <n v="104.590803824391"/>
    <n v="103.96199276716"/>
    <n v="105.44364841797"/>
    <n v="105.226705238009"/>
  </r>
  <r>
    <x v="137"/>
    <n v="105.38476115065799"/>
    <n v="104.932451249477"/>
    <n v="105.79380934183401"/>
    <n v="105.77237302907599"/>
    <n v="107.22066082570799"/>
    <n v="106.400918256387"/>
    <n v="105.159537972664"/>
    <n v="105.628384584549"/>
    <n v="104.95957726314801"/>
    <n v="104.24676888955899"/>
    <n v="105.42569657346699"/>
    <n v="105.09516856225299"/>
  </r>
  <r>
    <x v="138"/>
    <n v="105.294970827379"/>
    <n v="104.946638748871"/>
    <n v="105.609986276455"/>
    <n v="105.477176022187"/>
    <n v="106.920654434639"/>
    <n v="106.58038961142501"/>
    <n v="105.105314197575"/>
    <n v="105.71301914156901"/>
    <n v="105.00944783813701"/>
    <n v="104.272574312887"/>
    <n v="105.30421383665799"/>
    <n v="105.04304588633801"/>
  </r>
  <r>
    <x v="139"/>
    <n v="105.12332203234"/>
    <n v="104.759099118005"/>
    <n v="105.452708419648"/>
    <n v="105.483616176309"/>
    <n v="106.814169289975"/>
    <n v="106.42035958147299"/>
    <n v="104.440938370227"/>
    <n v="105.51308769272801"/>
    <n v="104.82526079716"/>
    <n v="104.089319532769"/>
    <n v="105.270860550123"/>
    <n v="104.721225682118"/>
  </r>
  <r>
    <x v="140"/>
    <n v="105.283497330793"/>
    <n v="104.916282519766"/>
    <n v="105.615589451331"/>
    <n v="105.646078944084"/>
    <n v="107.195157313021"/>
    <n v="106.417318179905"/>
    <n v="104.604896254881"/>
    <n v="105.65994048412399"/>
    <n v="104.841382867814"/>
    <n v="104.13543068450799"/>
    <n v="106.24651254521901"/>
    <n v="104.99113269348901"/>
  </r>
  <r>
    <x v="141"/>
    <n v="105.196903719673"/>
    <n v="104.84733042758801"/>
    <n v="105.513041665"/>
    <n v="105.529973811657"/>
    <n v="107.179458786125"/>
    <n v="106.41202660974"/>
    <n v="104.400720594384"/>
    <n v="105.747302980722"/>
    <n v="104.805033947163"/>
    <n v="104.025310610833"/>
    <n v="106.233245585853"/>
    <n v="104.776248438499"/>
  </r>
  <r>
    <x v="142"/>
    <n v="105.044113509139"/>
    <n v="104.781975959224"/>
    <n v="105.281178606216"/>
    <n v="105.190822312336"/>
    <n v="107.57024750239501"/>
    <n v="106.30201293967001"/>
    <n v="104.153947775218"/>
    <n v="105.714673403761"/>
    <n v="104.78175194578201"/>
    <n v="103.89087507041999"/>
    <n v="105.853519407102"/>
    <n v="104.826984108459"/>
  </r>
  <r>
    <x v="143"/>
    <n v="105.210912990011"/>
    <n v="104.945188997542"/>
    <n v="105.451221500144"/>
    <n v="105.21567611986499"/>
    <n v="107.354246595576"/>
    <n v="106.610433991151"/>
    <n v="104.835938298906"/>
    <n v="105.923038033361"/>
    <n v="104.93505179766299"/>
    <n v="103.724037837019"/>
    <n v="105.88035969201999"/>
    <n v="105.449442927634"/>
  </r>
  <r>
    <x v="144"/>
    <n v="105.30329077682801"/>
    <n v="104.972204523393"/>
    <n v="105.60270989796"/>
    <n v="105.501645748638"/>
    <n v="107.17621714790999"/>
    <n v="106.65492183923899"/>
    <n v="104.702618204472"/>
    <n v="106.156581193268"/>
    <n v="104.83881124486"/>
    <n v="103.690869822656"/>
    <n v="106.319803082093"/>
    <n v="105.76664627527801"/>
  </r>
  <r>
    <x v="145"/>
    <n v="105.51204374395201"/>
    <n v="105.01504608350901"/>
    <n v="105.961505481339"/>
    <n v="106.025196015389"/>
    <n v="107.60601333386801"/>
    <n v="106.766469297539"/>
    <n v="104.682371299834"/>
    <n v="106.38200361485799"/>
    <n v="104.85275157923201"/>
    <n v="103.717816188613"/>
    <n v="106.475498298723"/>
    <n v="105.867132823319"/>
  </r>
  <r>
    <x v="146"/>
    <n v="105.657326701866"/>
    <n v="105.11743764840401"/>
    <n v="106.14557743477501"/>
    <n v="106.338270375345"/>
    <n v="107.246598858342"/>
    <n v="106.583888086865"/>
    <n v="104.86124813465401"/>
    <n v="106.44504546457701"/>
    <n v="104.84206437031401"/>
    <n v="104.191051226954"/>
    <n v="106.58463577291199"/>
    <n v="106.10932876293801"/>
  </r>
  <r>
    <x v="147"/>
    <n v="106.11676915031499"/>
    <n v="105.24124696110199"/>
    <n v="106.908550994791"/>
    <n v="107.07777963679101"/>
    <n v="107.74963792797401"/>
    <n v="106.84076534306099"/>
    <n v="106.12156594770801"/>
    <n v="106.896547218027"/>
    <n v="104.983231111816"/>
    <n v="104.521294603239"/>
    <n v="106.58490806429199"/>
    <n v="106.05324172447"/>
  </r>
  <r>
    <x v="148"/>
    <n v="106.165206789217"/>
    <n v="105.42760049632599"/>
    <n v="106.832263864727"/>
    <n v="107.16051994920301"/>
    <n v="107.551363132394"/>
    <n v="106.746317874287"/>
    <n v="105.381410913037"/>
    <n v="107.412828945794"/>
    <n v="105.23381422617901"/>
    <n v="104.424058893501"/>
    <n v="106.81754859377099"/>
    <n v="106.191948050029"/>
  </r>
  <r>
    <x v="149"/>
    <n v="105.55273726978901"/>
    <n v="105.085530945504"/>
    <n v="105.975257098242"/>
    <n v="105.98662556686"/>
    <n v="107.02765268741599"/>
    <n v="106.346874643839"/>
    <n v="105.25238943284"/>
    <n v="106.394362885124"/>
    <n v="104.944663929008"/>
    <n v="103.908666940785"/>
    <n v="106.515494637301"/>
    <n v="105.75190423092999"/>
  </r>
  <r>
    <x v="150"/>
    <n v="105.40436716683401"/>
    <n v="104.883923365187"/>
    <n v="105.875032511803"/>
    <n v="105.848628508128"/>
    <n v="106.800902471935"/>
    <n v="106.587604055943"/>
    <n v="105.28268870662799"/>
    <n v="105.98978441017501"/>
    <n v="104.6616590923"/>
    <n v="103.894396578903"/>
    <n v="106.276262746244"/>
    <n v="105.75836776892299"/>
  </r>
  <r>
    <x v="151"/>
    <n v="105.41688937022001"/>
    <n v="104.885412377842"/>
    <n v="105.897532623476"/>
    <n v="105.903105158019"/>
    <n v="106.690118165225"/>
    <n v="106.33607792676"/>
    <n v="105.44003114947201"/>
    <n v="105.82665440459"/>
    <n v="104.800563354346"/>
    <n v="103.81159988270301"/>
    <n v="105.87518627101601"/>
    <n v="105.537272788115"/>
  </r>
  <r>
    <x v="152"/>
    <n v="105.25558454378999"/>
    <n v="104.861036007038"/>
    <n v="105.612396023857"/>
    <n v="105.61011067851901"/>
    <n v="106.63327400126801"/>
    <n v="105.929709851006"/>
    <n v="105.18320386247601"/>
    <n v="105.454003736475"/>
    <n v="104.678251888392"/>
    <n v="103.951262575961"/>
    <n v="105.955564493853"/>
    <n v="105.70917883862499"/>
  </r>
  <r>
    <x v="153"/>
    <n v="105.1034891541"/>
    <n v="104.79976259971301"/>
    <n v="105.378165426628"/>
    <n v="105.31419127093299"/>
    <n v="106.545801589484"/>
    <n v="105.88426616752299"/>
    <n v="105.051435367118"/>
    <n v="105.10274817663699"/>
    <n v="104.671369993523"/>
    <n v="103.863958116703"/>
    <n v="105.881109446246"/>
    <n v="105.443377845375"/>
  </r>
  <r>
    <x v="154"/>
    <n v="104.815862278346"/>
    <n v="104.652694450239"/>
    <n v="104.96342372851799"/>
    <n v="104.88658890454801"/>
    <n v="106.17261171585"/>
    <n v="105.96564842507701"/>
    <n v="104.23982237169299"/>
    <n v="105.24745300337599"/>
    <n v="104.571444217839"/>
    <n v="103.511436310646"/>
    <n v="105.954942314516"/>
    <n v="105.118790446104"/>
  </r>
  <r>
    <x v="155"/>
    <n v="105.00396255276"/>
    <n v="104.788574068803"/>
    <n v="105.19874995302"/>
    <n v="105.12514801200599"/>
    <n v="106.282313989302"/>
    <n v="105.99551702937499"/>
    <n v="104.56015835506901"/>
    <n v="105.581131842895"/>
    <n v="104.775371818322"/>
    <n v="103.526498459424"/>
    <n v="105.69859682056099"/>
    <n v="105.36401305155501"/>
  </r>
  <r>
    <x v="156"/>
    <n v="105.204050176427"/>
    <n v="105.110038624308"/>
    <n v="105.289069883587"/>
    <n v="105.026010321195"/>
    <n v="106.91464508720399"/>
    <n v="106.715024082857"/>
    <n v="104.60957713273299"/>
    <n v="106.115932154603"/>
    <n v="105.22542892244201"/>
    <n v="103.585749011788"/>
    <n v="106.22817540401201"/>
    <n v="105.213365550988"/>
  </r>
  <r>
    <x v="157"/>
    <n v="105.365176487928"/>
    <n v="105.285075504933"/>
    <n v="105.437616118633"/>
    <n v="105.33065576931099"/>
    <n v="106.808231009403"/>
    <n v="106.466706971473"/>
    <n v="104.527311172048"/>
    <n v="106.283899250595"/>
    <n v="105.29543457280199"/>
    <n v="103.84277994976399"/>
    <n v="106.42444974140901"/>
    <n v="105.756367869144"/>
  </r>
  <r>
    <x v="158"/>
    <n v="105.432295912604"/>
    <n v="105.33083569841899"/>
    <n v="105.524051845825"/>
    <n v="105.29961083491"/>
    <n v="107.05666731219"/>
    <n v="106.673000715973"/>
    <n v="105.187553881136"/>
    <n v="105.522602205818"/>
    <n v="105.351291395449"/>
    <n v="103.770199771949"/>
    <n v="106.528464440443"/>
    <n v="105.826530173419"/>
  </r>
  <r>
    <x v="159"/>
    <n v="105.285855505328"/>
    <n v="105.142570348658"/>
    <n v="105.415435985448"/>
    <n v="105.490855499004"/>
    <n v="107.15991892417399"/>
    <n v="105.783957091028"/>
    <n v="104.300856125363"/>
    <n v="105.703022687417"/>
    <n v="105.295356428671"/>
    <n v="103.576242429883"/>
    <n v="106.202972540619"/>
    <n v="105.164662059002"/>
  </r>
  <r>
    <x v="160"/>
    <n v="105.09360950223601"/>
    <n v="104.863593754733"/>
    <n v="105.301625124295"/>
    <n v="105.343366135176"/>
    <n v="106.595941671239"/>
    <n v="105.670450808409"/>
    <n v="104.406906419221"/>
    <n v="105.70391553233399"/>
    <n v="104.99886514076501"/>
    <n v="103.61165869676999"/>
    <n v="105.87817445416501"/>
    <n v="104.698343911999"/>
  </r>
  <r>
    <x v="161"/>
    <n v="104.805413816399"/>
    <n v="104.790425739356"/>
    <n v="104.818968341267"/>
    <n v="104.83905015776099"/>
    <n v="106.05720170664701"/>
    <n v="105.59569967207899"/>
    <n v="103.832011954542"/>
    <n v="105.23468521562199"/>
    <n v="105.096147012956"/>
    <n v="103.193875735527"/>
    <n v="105.502761639772"/>
    <n v="104.429528601176"/>
  </r>
  <r>
    <x v="162"/>
    <n v="104.80109808551499"/>
    <n v="104.843885009223"/>
    <n v="104.762403567215"/>
    <n v="104.75587049759901"/>
    <n v="105.647839506106"/>
    <n v="105.63082682704599"/>
    <n v="103.912450605149"/>
    <n v="105.259978929296"/>
    <n v="105.096849693935"/>
    <n v="103.189684034892"/>
    <n v="105.69666096688501"/>
    <n v="104.664517537948"/>
  </r>
  <r>
    <x v="163"/>
    <n v="105.083525023619"/>
    <n v="104.937769524175"/>
    <n v="105.215339567687"/>
    <n v="105.273137969895"/>
    <n v="106.37692584843801"/>
    <n v="105.62106380142301"/>
    <n v="104.250321064264"/>
    <n v="105.755291325687"/>
    <n v="105.16193439579099"/>
    <n v="103.128676544553"/>
    <n v="106.258098682371"/>
    <n v="104.682006104538"/>
  </r>
  <r>
    <x v="164"/>
    <n v="105.495324910595"/>
    <n v="105.349430975584"/>
    <n v="105.627264649398"/>
    <n v="105.59148303127201"/>
    <n v="107.002537569476"/>
    <n v="105.715668242192"/>
    <n v="104.82861485056"/>
    <n v="106.653792411469"/>
    <n v="105.640713585443"/>
    <n v="103.58808266645001"/>
    <n v="105.888744894242"/>
    <n v="105.33814018289"/>
  </r>
  <r>
    <x v="165"/>
    <n v="105.445727281168"/>
    <n v="105.283862496097"/>
    <n v="105.59211031938"/>
    <n v="105.78766273613699"/>
    <n v="106.645485146805"/>
    <n v="105.894262392771"/>
    <n v="104.197684935333"/>
    <n v="106.360035934716"/>
    <n v="105.539665052271"/>
    <n v="103.504692836125"/>
    <n v="106.19981721982001"/>
    <n v="105.163418462002"/>
  </r>
  <r>
    <x v="166"/>
    <n v="105.17914043107299"/>
    <n v="105.14126827202701"/>
    <n v="105.21339026312999"/>
    <n v="105.35971394362301"/>
    <n v="106.419717608477"/>
    <n v="105.81547542539199"/>
    <n v="103.910278051731"/>
    <n v="105.659559502501"/>
    <n v="105.29393222432"/>
    <n v="103.60163278282501"/>
    <n v="106.122961907617"/>
    <n v="105.19748543205699"/>
  </r>
  <r>
    <x v="167"/>
    <n v="105.28345197589999"/>
    <n v="105.09044118602"/>
    <n v="105.45800202282901"/>
    <n v="105.6956614688"/>
    <n v="106.355681291087"/>
    <n v="105.991508608065"/>
    <n v="104.13157755978099"/>
    <n v="105.582513814728"/>
    <n v="105.28955239841601"/>
    <n v="103.249542593339"/>
    <n v="106.414276825678"/>
    <n v="104.97241198624999"/>
  </r>
  <r>
    <x v="168"/>
    <n v="105.773500350709"/>
    <n v="105.667861851043"/>
    <n v="105.869034932406"/>
    <n v="106.039566776623"/>
    <n v="106.668595265259"/>
    <n v="106.55955507295"/>
    <n v="104.584146891071"/>
    <n v="106.34927583621401"/>
    <n v="105.842718294006"/>
    <n v="103.960789966531"/>
    <n v="107.02392108996401"/>
    <n v="105.50520486255699"/>
  </r>
  <r>
    <x v="169"/>
    <n v="105.53091194837501"/>
    <n v="105.353213194532"/>
    <n v="105.69161449688001"/>
    <n v="105.787717718723"/>
    <n v="106.637211832879"/>
    <n v="106.546383048484"/>
    <n v="104.60909871646101"/>
    <n v="105.922431608742"/>
    <n v="105.51215459526701"/>
    <n v="103.66918453636499"/>
    <n v="106.684052126494"/>
    <n v="105.25752289535301"/>
  </r>
  <r>
    <x v="170"/>
    <n v="105.307760531158"/>
    <n v="105.12838945271901"/>
    <n v="105.46997545281501"/>
    <n v="105.60602444110501"/>
    <n v="106.054566648828"/>
    <n v="106.372581926634"/>
    <n v="104.39327702816399"/>
    <n v="105.64148808691399"/>
    <n v="105.26850684079901"/>
    <n v="103.558279275141"/>
    <n v="106.491561362401"/>
    <n v="104.983025521627"/>
  </r>
  <r>
    <x v="171"/>
    <n v="105.488432161687"/>
    <n v="105.197307698732"/>
    <n v="105.75171168457"/>
    <n v="105.871822408789"/>
    <n v="106.327271437647"/>
    <n v="106.573115818823"/>
    <n v="104.82116401240199"/>
    <n v="105.76624010101899"/>
    <n v="105.38869730240199"/>
    <n v="103.436827673732"/>
    <n v="106.563871376337"/>
    <n v="105.004832615589"/>
  </r>
  <r>
    <x v="172"/>
    <n v="105.483993620977"/>
    <n v="105.18876638347901"/>
    <n v="105.75098350373"/>
    <n v="106.048905327467"/>
    <n v="106.30909781206"/>
    <n v="105.90128519619201"/>
    <n v="104.49524004343699"/>
    <n v="105.94538140376901"/>
    <n v="105.442239038368"/>
    <n v="103.03013371787"/>
    <n v="106.566392221687"/>
    <n v="105.093291307505"/>
  </r>
  <r>
    <x v="173"/>
    <n v="105.446249456763"/>
    <n v="105.252540248157"/>
    <n v="105.621431121342"/>
    <n v="105.840553230368"/>
    <n v="106.59723970894299"/>
    <n v="106.029601833364"/>
    <n v="104.432231415359"/>
    <n v="105.602288229937"/>
    <n v="105.478937114174"/>
    <n v="103.24726698828501"/>
    <n v="106.69567865709"/>
    <n v="105.081354313655"/>
  </r>
  <r>
    <x v="174"/>
    <n v="105.542558039632"/>
    <n v="105.448471139752"/>
    <n v="105.627645887827"/>
    <n v="105.853078773102"/>
    <n v="106.632323373886"/>
    <n v="105.907507685787"/>
    <n v="104.436328917463"/>
    <n v="105.68065763236299"/>
    <n v="105.764305968326"/>
    <n v="103.27549479128101"/>
    <n v="106.707416389502"/>
    <n v="105.181332237411"/>
  </r>
  <r>
    <x v="175"/>
    <n v="105.432642629271"/>
    <n v="105.338673138884"/>
    <n v="105.517624297742"/>
    <n v="105.766766801526"/>
    <n v="106.339190874295"/>
    <n v="106.13862654645401"/>
    <n v="104.19928257668499"/>
    <n v="105.49841349315101"/>
    <n v="105.643775622866"/>
    <n v="103.31199137162901"/>
    <n v="106.512326845076"/>
    <n v="105.04361987687901"/>
  </r>
  <r>
    <x v="176"/>
    <n v="105.42003146493499"/>
    <n v="105.45102497114701"/>
    <n v="105.392002368909"/>
    <n v="105.599239636486"/>
    <n v="106.382905249506"/>
    <n v="106.24733371058799"/>
    <n v="104.099656184064"/>
    <n v="105.22353201025901"/>
    <n v="105.746566094748"/>
    <n v="103.190668467997"/>
    <n v="106.65828551378701"/>
    <n v="105.394819813335"/>
  </r>
  <r>
    <x v="177"/>
    <n v="105.968981459124"/>
    <n v="105.942601056418"/>
    <n v="105.99283867733"/>
    <n v="106.39108141436201"/>
    <n v="107.03919055032701"/>
    <n v="106.12428236272"/>
    <n v="104.43054368790099"/>
    <n v="105.740207876344"/>
    <n v="106.120029969784"/>
    <n v="104.438902162983"/>
    <n v="106.974416040759"/>
    <n v="105.818266884542"/>
  </r>
  <r>
    <x v="178"/>
    <n v="105.223281122662"/>
    <n v="105.250981137225"/>
    <n v="105.198230508419"/>
    <n v="105.37027917946899"/>
    <n v="106.290563182048"/>
    <n v="106.023541426733"/>
    <n v="103.863307709738"/>
    <n v="105.371235883335"/>
    <n v="105.38172170115899"/>
    <n v="103.431387807581"/>
    <n v="106.572134204669"/>
    <n v="105.41530768495301"/>
  </r>
  <r>
    <x v="179"/>
    <n v="105.214666947918"/>
    <n v="105.221010671231"/>
    <n v="105.208929977449"/>
    <n v="105.40368986998701"/>
    <n v="106.012270090264"/>
    <n v="106.070023543627"/>
    <n v="103.925199911132"/>
    <n v="105.289771928051"/>
    <n v="105.28013514740699"/>
    <n v="103.486257825104"/>
    <n v="106.44638833810799"/>
    <n v="105.69132320803099"/>
  </r>
  <r>
    <x v="180"/>
    <n v="105.453517612939"/>
    <n v="105.437256660158"/>
    <n v="105.468223267855"/>
    <n v="105.71306070643099"/>
    <n v="105.859897929665"/>
    <n v="106.226977372202"/>
    <n v="104.259444816799"/>
    <n v="105.44048586412499"/>
    <n v="105.471642319681"/>
    <n v="103.76546326259199"/>
    <n v="106.594350933673"/>
    <n v="106.00766034021601"/>
  </r>
  <r>
    <x v="181"/>
    <n v="105.290675551604"/>
    <n v="105.248329645472"/>
    <n v="105.328971233971"/>
    <n v="105.503004237868"/>
    <n v="105.743329726516"/>
    <n v="106.233955220591"/>
    <n v="104.39147961014299"/>
    <n v="104.97500095826901"/>
    <n v="105.344646271328"/>
    <n v="103.685213850173"/>
    <n v="106.757293963083"/>
    <n v="105.179703213401"/>
  </r>
  <r>
    <x v="182"/>
    <n v="105.49856259812201"/>
    <n v="105.547013312768"/>
    <n v="105.45474600879901"/>
    <n v="105.769339728964"/>
    <n v="106.196993674222"/>
    <n v="106.312787118092"/>
    <n v="104.00372781931"/>
    <n v="105.05561729992"/>
    <n v="105.660109306802"/>
    <n v="103.904931353105"/>
    <n v="106.596847057723"/>
    <n v="105.82347690122999"/>
  </r>
  <r>
    <x v="183"/>
    <n v="106.556317848736"/>
    <n v="105.74263384608"/>
    <n v="107.2921760924"/>
    <n v="107.47460503976301"/>
    <n v="107.060954379188"/>
    <n v="109.461177638583"/>
    <n v="106.22192667297099"/>
    <n v="106.39464197318701"/>
    <n v="105.469633223912"/>
    <n v="104.989499588953"/>
    <n v="107.549243430526"/>
    <n v="106.305325262624"/>
  </r>
  <r>
    <x v="184"/>
    <n v="106.279288371097"/>
    <n v="105.73796283300899"/>
    <n v="106.76883819437801"/>
    <n v="107.19961661517701"/>
    <n v="106.493487502905"/>
    <n v="108.533280866056"/>
    <n v="105.14408500779"/>
    <n v="105.803498771394"/>
    <n v="105.54296318398499"/>
    <n v="105.127544897451"/>
    <n v="107.614837913416"/>
    <n v="105.769533201256"/>
  </r>
  <r>
    <x v="185"/>
    <n v="105.620553724443"/>
    <n v="105.52378839459099"/>
    <n v="105.70806382104099"/>
    <n v="106.04859089063901"/>
    <n v="105.939672872182"/>
    <n v="107.219772107664"/>
    <n v="103.98774557007199"/>
    <n v="105.549849453004"/>
    <n v="105.29479395566"/>
    <n v="104.609180938375"/>
    <n v="107.711733720848"/>
    <n v="105.76081885623699"/>
  </r>
  <r>
    <x v="186"/>
    <n v="104.97346998607"/>
    <n v="104.786179461318"/>
    <n v="105.142846889327"/>
    <n v="105.55906698518901"/>
    <n v="105.17059549642499"/>
    <n v="106.79429556631"/>
    <n v="103.325693602849"/>
    <n v="104.65247131765"/>
    <n v="104.672173392562"/>
    <n v="103.713695917019"/>
    <n v="106.145438024833"/>
    <n v="105.288255371471"/>
  </r>
  <r>
    <x v="187"/>
    <n v="104.633513657926"/>
    <n v="104.516351476761"/>
    <n v="104.73946972511401"/>
    <n v="105.129296784464"/>
    <n v="104.829499843089"/>
    <n v="106.49581175754599"/>
    <n v="102.867980371462"/>
    <n v="104.43322334773499"/>
    <n v="104.52843428736701"/>
    <n v="103.200685863961"/>
    <n v="105.546346658744"/>
    <n v="104.941687111389"/>
  </r>
  <r>
    <x v="188"/>
    <n v="104.46970372361"/>
    <n v="104.26329967492001"/>
    <n v="104.65636601543"/>
    <n v="105.020053164563"/>
    <n v="104.69249635682201"/>
    <n v="106.52469659168101"/>
    <n v="102.95074461420801"/>
    <n v="104.047607561411"/>
    <n v="104.296110749581"/>
    <n v="102.89157977772599"/>
    <n v="105.24907126636"/>
    <n v="104.683873556506"/>
  </r>
  <r>
    <x v="189"/>
    <n v="104.271965054021"/>
    <n v="104.031740231965"/>
    <n v="104.489213291746"/>
    <n v="104.831643807801"/>
    <n v="104.520358026211"/>
    <n v="106.367476342571"/>
    <n v="102.818294863831"/>
    <n v="103.956426426593"/>
    <n v="103.957098062664"/>
    <n v="102.93435690678"/>
    <n v="105.25702304801101"/>
    <n v="104.484744731307"/>
  </r>
  <r>
    <x v="190"/>
    <n v="104.262857518503"/>
    <n v="104.047113579439"/>
    <n v="104.457966375949"/>
    <n v="104.86204173081001"/>
    <n v="104.453036021158"/>
    <n v="106.29102218504499"/>
    <n v="102.63271014825099"/>
    <n v="103.913723870513"/>
    <n v="103.980967214118"/>
    <n v="103.22553510127599"/>
    <n v="105.191685159266"/>
    <n v="104.26120953330501"/>
  </r>
  <r>
    <x v="191"/>
    <n v="104.233025480214"/>
    <n v="103.945307262152"/>
    <n v="104.49322455248399"/>
    <n v="105.019215990936"/>
    <n v="104.68354889344501"/>
    <n v="106.244342936843"/>
    <n v="102.38856480332301"/>
    <n v="103.59880191206901"/>
    <n v="103.900248889003"/>
    <n v="103.05863864699"/>
    <n v="105.14265851101101"/>
    <n v="104.0889974777"/>
  </r>
  <r>
    <x v="192"/>
    <n v="104.35409739341399"/>
    <n v="104.15751529171401"/>
    <n v="104.531877169864"/>
    <n v="104.76306205409399"/>
    <n v="104.625954256574"/>
    <n v="106.51408283102"/>
    <n v="103.163849604931"/>
    <n v="103.931628614876"/>
    <n v="104.051256045526"/>
    <n v="103.42627824144201"/>
    <n v="105.569276719954"/>
    <n v="104.26204423855199"/>
  </r>
  <r>
    <x v="193"/>
    <n v="104.442113491474"/>
    <n v="104.163854892995"/>
    <n v="104.69375772055101"/>
    <n v="104.870138699617"/>
    <n v="104.864409443299"/>
    <n v="106.583279231417"/>
    <n v="103.493926172835"/>
    <n v="104.130221251365"/>
    <n v="103.98831311451499"/>
    <n v="103.68229506961301"/>
    <n v="105.75845611177699"/>
    <n v="104.19886688170099"/>
  </r>
  <r>
    <x v="194"/>
    <n v="104.625301136874"/>
    <n v="104.342873516822"/>
    <n v="104.880715636576"/>
    <n v="105.1797887159"/>
    <n v="105.25192886000499"/>
    <n v="106.461430041669"/>
    <n v="103.445205598415"/>
    <n v="104.096691030806"/>
    <n v="104.209124457576"/>
    <n v="103.37394480316399"/>
    <n v="106.07499098278799"/>
    <n v="104.554139777259"/>
  </r>
  <r>
    <x v="195"/>
    <n v="104.990644223591"/>
    <n v="104.588943797798"/>
    <n v="105.35392354189899"/>
    <n v="105.826475290593"/>
    <n v="105.465158202263"/>
    <n v="106.163782612017"/>
    <n v="103.780404059538"/>
    <n v="104.628501801403"/>
    <n v="104.42148319827299"/>
    <n v="103.678139671149"/>
    <n v="106.208437876188"/>
    <n v="104.97754833305601"/>
  </r>
  <r>
    <x v="196"/>
    <n v="105.07814419232901"/>
    <n v="104.606550232606"/>
    <n v="105.504631995691"/>
    <n v="105.899403529949"/>
    <n v="105.60979647085399"/>
    <n v="106.328650352685"/>
    <n v="104.02976453598799"/>
    <n v="105.146271868119"/>
    <n v="104.362950784357"/>
    <n v="104.01489566588801"/>
    <n v="106.445632546409"/>
    <n v="104.862264322317"/>
  </r>
  <r>
    <x v="197"/>
    <n v="104.893612561898"/>
    <n v="104.583828476482"/>
    <n v="105.17376698580701"/>
    <n v="105.601322666995"/>
    <n v="105.58932625859499"/>
    <n v="106.421832436614"/>
    <n v="103.247418148012"/>
    <n v="104.97393569811599"/>
    <n v="104.388258692919"/>
    <n v="103.773765292932"/>
    <n v="106.70680000030799"/>
    <n v="104.623256945753"/>
  </r>
  <r>
    <x v="198"/>
    <n v="105.445571730997"/>
    <n v="104.979097971808"/>
    <n v="105.8674290614"/>
    <n v="106.261185113306"/>
    <n v="106.01646664056901"/>
    <n v="106.157125083298"/>
    <n v="104.452179551157"/>
    <n v="105.92376260071001"/>
    <n v="104.822378494871"/>
    <n v="103.981991785243"/>
    <n v="107.130532955877"/>
    <n v="105.004090522547"/>
  </r>
  <r>
    <x v="199"/>
    <n v="105.567350745434"/>
    <n v="105.191063812075"/>
    <n v="105.907647274542"/>
    <n v="106.355966218201"/>
    <n v="105.929118527241"/>
    <n v="106.39984418684401"/>
    <n v="104.291728163161"/>
    <n v="105.93892863742499"/>
    <n v="105.05596934944199"/>
    <n v="104.180242464619"/>
    <n v="107.322235313948"/>
    <n v="105.149188003128"/>
  </r>
  <r>
    <x v="200"/>
    <n v="105.583909272285"/>
    <n v="105.240003437274"/>
    <n v="105.89492183110499"/>
    <n v="106.238759474231"/>
    <n v="106.166655481468"/>
    <n v="106.647583126093"/>
    <n v="104.330563966677"/>
    <n v="106.11803192504701"/>
    <n v="104.995426733689"/>
    <n v="104.316966896525"/>
    <n v="107.90202025073999"/>
    <n v="105.198513229551"/>
  </r>
  <r>
    <x v="201"/>
    <n v="105.803738133349"/>
    <n v="105.45854685381499"/>
    <n v="106.11591318884599"/>
    <n v="106.644565843935"/>
    <n v="106.177356433291"/>
    <n v="106.71769085641201"/>
    <n v="104.34248294373801"/>
    <n v="105.743464144865"/>
    <n v="105.208777702433"/>
    <n v="104.592714241268"/>
    <n v="108.338319512871"/>
    <n v="105.22246537131301"/>
  </r>
  <r>
    <x v="202"/>
    <n v="106.184139015753"/>
    <n v="105.95299848531"/>
    <n v="106.39317183957201"/>
    <n v="106.699767432985"/>
    <n v="106.29847308319199"/>
    <n v="107.02511399519101"/>
    <n v="105.303850289362"/>
    <n v="106.140333023675"/>
    <n v="105.97912223490199"/>
    <n v="104.67392365113599"/>
    <n v="108.46689576959901"/>
    <n v="105.17054442507499"/>
  </r>
  <r>
    <x v="203"/>
    <n v="106.255853364723"/>
    <n v="106.114073210301"/>
    <n v="106.384072790297"/>
    <n v="106.63455299186001"/>
    <n v="106.187397361263"/>
    <n v="106.911271366382"/>
    <n v="105.27040869719001"/>
    <n v="106.872117778457"/>
    <n v="106.11060191089"/>
    <n v="105.039078894432"/>
    <n v="108.376513997915"/>
    <n v="105.45618060118299"/>
  </r>
  <r>
    <x v="204"/>
    <n v="107.022306333896"/>
    <n v="106.643255903365"/>
    <n v="107.36510204225399"/>
    <n v="107.880386979695"/>
    <n v="106.49044444584101"/>
    <n v="107.42353729848701"/>
    <n v="105.982767673366"/>
    <n v="107.557889204267"/>
    <n v="106.627586225824"/>
    <n v="105.387661465703"/>
    <n v="108.954455777992"/>
    <n v="106.17403870432901"/>
  </r>
  <r>
    <x v="205"/>
    <n v="107.27112864588899"/>
    <n v="106.97672582478"/>
    <n v="107.537372964523"/>
    <n v="108.010720895633"/>
    <n v="106.6511172916"/>
    <n v="107.818775337776"/>
    <n v="106.221248965437"/>
    <n v="107.657008292575"/>
    <n v="106.922503688936"/>
    <n v="105.911641137073"/>
    <n v="109.50484028991001"/>
    <n v="106.33357721210599"/>
  </r>
  <r>
    <x v="206"/>
    <n v="107.39173998062"/>
    <n v="107.06503667133499"/>
    <n v="107.68719536942599"/>
    <n v="108.07219022453"/>
    <n v="106.95870547791699"/>
    <n v="108.01346815230001"/>
    <n v="106.604326769953"/>
    <n v="107.71420917041399"/>
    <n v="106.93948011149701"/>
    <n v="106.185878347223"/>
    <n v="109.717042324364"/>
    <n v="106.466099421264"/>
  </r>
  <r>
    <x v="207"/>
    <n v="108.029268737987"/>
    <n v="107.503642813279"/>
    <n v="108.504620555789"/>
    <n v="109.033710225159"/>
    <n v="107.24857401882301"/>
    <n v="108.643020634504"/>
    <n v="107.338207275801"/>
    <n v="108.277073723546"/>
    <n v="107.363746253801"/>
    <n v="106.67011131439"/>
    <n v="110.190736455815"/>
    <n v="106.89812916211299"/>
  </r>
  <r>
    <x v="208"/>
    <n v="108.63143577183899"/>
    <n v="108.06621595925201"/>
    <n v="109.142594473762"/>
    <n v="109.53945727220599"/>
    <n v="107.681131221329"/>
    <n v="109.38627829275801"/>
    <n v="108.39862464689701"/>
    <n v="108.952698889242"/>
    <n v="107.80590776683"/>
    <n v="107.361698016654"/>
    <n v="110.550703632523"/>
    <n v="108.019257190622"/>
  </r>
  <r>
    <x v="209"/>
    <n v="109.33561139901801"/>
    <n v="108.55594258839299"/>
    <n v="110.040707873513"/>
    <n v="110.647979185537"/>
    <n v="108.06741416584801"/>
    <n v="110.19070989895999"/>
    <n v="108.857597742626"/>
    <n v="109.874852967791"/>
    <n v="108.35572102160801"/>
    <n v="107.626307533244"/>
    <n v="110.89777234502699"/>
    <n v="108.56550641833"/>
  </r>
  <r>
    <x v="210"/>
    <n v="109.51080679795299"/>
    <n v="108.989118572653"/>
    <n v="109.982597542218"/>
    <n v="110.45790281895999"/>
    <n v="108.911892667722"/>
    <n v="110.10227945617601"/>
    <n v="108.823740707897"/>
    <n v="110.024544074313"/>
    <n v="108.833923707276"/>
    <n v="107.95805380282501"/>
    <n v="111.637544943547"/>
    <n v="108.667468599937"/>
  </r>
  <r>
    <x v="211"/>
    <n v="109.54212537178"/>
    <n v="109.11837577051"/>
    <n v="109.92534494636401"/>
    <n v="110.41461864252101"/>
    <n v="108.663487542391"/>
    <n v="109.91286702325699"/>
    <n v="108.904476327784"/>
    <n v="109.814840367602"/>
    <n v="109.145791675623"/>
    <n v="107.916320407431"/>
    <n v="111.135794564221"/>
    <n v="108.628890501564"/>
  </r>
  <r>
    <x v="212"/>
    <n v="109.93309397205999"/>
    <n v="109.720730518493"/>
    <n v="110.125145674503"/>
    <n v="110.618705587091"/>
    <n v="108.432055903058"/>
    <n v="110.510584184987"/>
    <n v="108.908611806496"/>
    <n v="110.453323289323"/>
    <n v="109.81215681218301"/>
    <n v="108.51287465084999"/>
    <n v="111.76026683494"/>
    <n v="108.938775270024"/>
  </r>
  <r>
    <x v="213"/>
    <n v="110.06143636367"/>
    <n v="109.94687410981"/>
    <n v="110.165041176645"/>
    <n v="110.72063746294801"/>
    <n v="108.74555072402001"/>
    <n v="110.153052088443"/>
    <n v="108.911573323797"/>
    <n v="110.275047762011"/>
    <n v="110.04802323539199"/>
    <n v="108.522606395888"/>
    <n v="112.03583208942899"/>
    <n v="109.290742862458"/>
  </r>
  <r>
    <x v="214"/>
    <n v="110.05370922841"/>
    <n v="109.917184591433"/>
    <n v="110.177175806657"/>
    <n v="110.77664343504701"/>
    <n v="109.214835060788"/>
    <n v="109.950449341233"/>
    <n v="108.61504453684"/>
    <n v="110.56147453205099"/>
    <n v="109.99790452261"/>
    <n v="108.486806498905"/>
    <n v="112.241419467711"/>
    <n v="109.18047335695999"/>
  </r>
  <r>
    <x v="215"/>
    <n v="110.22731694308099"/>
    <n v="110.063293456396"/>
    <n v="110.375652211363"/>
    <n v="110.885475519173"/>
    <n v="109.82117769950599"/>
    <n v="110.216757185147"/>
    <n v="108.919851171427"/>
    <n v="110.75459451400801"/>
    <n v="110.146298636686"/>
    <n v="108.638703540085"/>
    <n v="112.28503925001699"/>
    <n v="109.387791290975"/>
  </r>
  <r>
    <x v="216"/>
    <n v="110.36023674933401"/>
    <n v="110.128919871931"/>
    <n v="110.56942905320101"/>
    <n v="111.07141139100101"/>
    <n v="109.546002618621"/>
    <n v="110.042628530775"/>
    <n v="109.46938331245001"/>
    <n v="110.92445789931701"/>
    <n v="110.33088345995"/>
    <n v="108.61936971263199"/>
    <n v="112.265527178108"/>
    <n v="109.074896086816"/>
  </r>
  <r>
    <x v="217"/>
    <n v="110.380407616705"/>
    <n v="110.036557527453"/>
    <n v="110.69136976163399"/>
    <n v="111.285935300304"/>
    <n v="109.314831966927"/>
    <n v="110.244243509013"/>
    <n v="109.55337653838799"/>
    <n v="110.62698960492"/>
    <n v="110.110578437557"/>
    <n v="108.628697249287"/>
    <n v="112.479507161463"/>
    <n v="109.219001087308"/>
  </r>
  <r>
    <x v="218"/>
    <n v="110.452138585459"/>
    <n v="110.201067333308"/>
    <n v="110.67919583377601"/>
    <n v="111.28512624962001"/>
    <n v="109.13724439727901"/>
    <n v="110.380566755546"/>
    <n v="109.5083495846"/>
    <n v="110.595592781459"/>
    <n v="110.421470715197"/>
    <n v="108.698250468919"/>
    <n v="112.40784596271099"/>
    <n v="109.007026622686"/>
  </r>
  <r>
    <x v="219"/>
    <n v="110.66886501960801"/>
    <n v="110.29018268476401"/>
    <n v="111.011327839223"/>
    <n v="111.584265387757"/>
    <n v="109.614928469457"/>
    <n v="110.160691013573"/>
    <n v="110.076453330061"/>
    <n v="111.061031218304"/>
    <n v="110.374282004273"/>
    <n v="108.94880333995"/>
    <n v="112.612525427001"/>
    <n v="109.455486399438"/>
  </r>
  <r>
    <x v="220"/>
    <n v="110.767591152824"/>
    <n v="110.238911389462"/>
    <n v="111.24570472130701"/>
    <n v="111.787190435178"/>
    <n v="109.92830528991701"/>
    <n v="109.741053202351"/>
    <n v="110.59906506125"/>
    <n v="111.45525343025299"/>
    <n v="110.44327621201499"/>
    <n v="108.546787552851"/>
    <n v="112.64032150639601"/>
    <n v="109.149455818462"/>
  </r>
  <r>
    <x v="221"/>
    <n v="111.181541477615"/>
    <n v="110.54361500693"/>
    <n v="111.758452724207"/>
    <n v="112.270457282492"/>
    <n v="110.119707719983"/>
    <n v="110.678580076964"/>
    <n v="111.30539370564399"/>
    <n v="111.515615895639"/>
    <n v="110.676165673735"/>
    <n v="108.658741846437"/>
    <n v="113.005270410446"/>
    <n v="109.907869753059"/>
  </r>
  <r>
    <x v="222"/>
    <n v="111.780858152468"/>
    <n v="110.998739753023"/>
    <n v="112.488169921992"/>
    <n v="113.16818441015801"/>
    <n v="110.639047947091"/>
    <n v="111.042670249414"/>
    <n v="111.746443639703"/>
    <n v="112.243345151485"/>
    <n v="111.104845872084"/>
    <n v="109.43259413619499"/>
    <n v="113.355445154777"/>
    <n v="110.255076120051"/>
  </r>
  <r>
    <x v="223"/>
    <n v="112.343081099914"/>
    <n v="111.388817051998"/>
    <n v="113.206073445835"/>
    <n v="114.011560906743"/>
    <n v="111.136675521775"/>
    <n v="111.655534310406"/>
    <n v="112.20570284524101"/>
    <n v="112.943011795678"/>
    <n v="111.37669841475901"/>
    <n v="110.10497917519"/>
    <n v="113.69358335890701"/>
    <n v="110.93563614717"/>
  </r>
  <r>
    <x v="224"/>
    <n v="112.385606673683"/>
    <n v="111.36789825307"/>
    <n v="113.30597518099999"/>
    <n v="114.12684052230701"/>
    <n v="111.549346911668"/>
    <n v="111.673004316141"/>
    <n v="111.938426625006"/>
    <n v="113.69269471015799"/>
    <n v="111.42374189786599"/>
    <n v="110.19978244682"/>
    <n v="113.83243831652899"/>
    <n v="110.38634081247601"/>
  </r>
  <r>
    <x v="225"/>
    <n v="112.188911619948"/>
    <n v="111.260386201641"/>
    <n v="113.028627137619"/>
    <n v="113.913476778126"/>
    <n v="111.469543802122"/>
    <n v="111.518529764387"/>
    <n v="111.262338241218"/>
    <n v="113.624576280345"/>
    <n v="111.434266521868"/>
    <n v="109.70973752254601"/>
    <n v="113.731053041717"/>
    <n v="110.11869139492801"/>
  </r>
  <r>
    <x v="226"/>
    <n v="111.74105392694101"/>
    <n v="110.907740844136"/>
    <n v="112.49466380440199"/>
    <n v="113.361766890943"/>
    <n v="111.216890638276"/>
    <n v="110.959612856326"/>
    <n v="110.646197167945"/>
    <n v="113.219271840215"/>
    <n v="111.182620234308"/>
    <n v="108.790113705416"/>
    <n v="113.33015934801099"/>
    <n v="109.89674997788801"/>
  </r>
  <r>
    <x v="227"/>
    <n v="111.715101416755"/>
    <n v="111.016013810986"/>
    <n v="112.34732397006501"/>
    <n v="113.24008161635901"/>
    <n v="111.144068598112"/>
    <n v="110.806411954361"/>
    <n v="110.37342842048901"/>
    <n v="113.131149884827"/>
    <n v="111.422128988913"/>
    <n v="108.669603637394"/>
    <n v="113.256327796142"/>
    <n v="109.781768407238"/>
  </r>
  <r>
    <x v="228"/>
    <n v="111.85513148675101"/>
    <n v="110.869794361252"/>
    <n v="112.746224889373"/>
    <n v="113.401577751597"/>
    <n v="112.45920910387601"/>
    <n v="111.32740476152701"/>
    <n v="111.104529490977"/>
    <n v="113.60047871939599"/>
    <n v="111.15934247790101"/>
    <n v="108.86182353602899"/>
    <n v="113.402652222283"/>
    <n v="109.607436534995"/>
  </r>
  <r>
    <x v="229"/>
    <n v="111.958952108953"/>
    <n v="111.126930390605"/>
    <n v="112.711394136023"/>
    <n v="113.520979894002"/>
    <n v="112.034124290238"/>
    <n v="111.07400604595"/>
    <n v="110.885215047101"/>
    <n v="113.402018740492"/>
    <n v="111.36125413739499"/>
    <n v="109.217939885557"/>
    <n v="113.835466561822"/>
    <n v="109.881768743691"/>
  </r>
  <r>
    <x v="230"/>
    <n v="112.281439749787"/>
    <n v="111.11835396651"/>
    <n v="113.333280831728"/>
    <n v="114.03123183429901"/>
    <n v="112.521794889294"/>
    <n v="111.296383555307"/>
    <n v="112.023758505762"/>
    <n v="114.14735778114"/>
    <n v="111.171351939722"/>
    <n v="109.408192065892"/>
    <n v="114.102674905143"/>
    <n v="110.27496114631199"/>
  </r>
  <r>
    <x v="231"/>
    <n v="113.71089463843801"/>
    <n v="112.492029795401"/>
    <n v="114.813179726668"/>
    <n v="115.673554164913"/>
    <n v="113.431579465132"/>
    <n v="112.73348885146601"/>
    <n v="113.40647873745201"/>
    <n v="115.133591790747"/>
    <n v="112.72060609678699"/>
    <n v="110.606441178043"/>
    <n v="115.639681994485"/>
    <n v="110.92104978794799"/>
  </r>
  <r>
    <x v="232"/>
    <n v="113.57535802608901"/>
    <n v="112.420941328838"/>
    <n v="114.61935918688501"/>
    <n v="115.485231487767"/>
    <n v="113.288076438172"/>
    <n v="112.515949996749"/>
    <n v="113.213589590455"/>
    <n v="114.87172536460901"/>
    <n v="112.678968863037"/>
    <n v="110.63022363306899"/>
    <n v="115.34772086629199"/>
    <n v="110.795770687733"/>
  </r>
  <r>
    <x v="233"/>
    <n v="112.494039825892"/>
    <n v="111.62296068335399"/>
    <n v="113.281803584092"/>
    <n v="113.89746773122999"/>
    <n v="112.49761594848999"/>
    <n v="111.31759412776201"/>
    <n v="111.798791387037"/>
    <n v="115.126021427018"/>
    <n v="111.531657208002"/>
    <n v="110.668587473784"/>
    <n v="115.214313122219"/>
    <n v="110.24140285095601"/>
  </r>
  <r>
    <x v="234"/>
    <n v="113.540676380544"/>
    <n v="112.531172706655"/>
    <n v="114.453624893743"/>
    <n v="115.510775667621"/>
    <n v="113.397995567734"/>
    <n v="112.704435744273"/>
    <n v="112.36464673395901"/>
    <n v="114.28891659699499"/>
    <n v="112.73935314648401"/>
    <n v="110.126159191444"/>
    <n v="116.30824313676899"/>
    <n v="111.071918261592"/>
  </r>
  <r>
    <x v="235"/>
    <n v="113.78625520598"/>
    <n v="112.87917915010701"/>
    <n v="114.606572910599"/>
    <n v="115.311887184189"/>
    <n v="113.44085560904701"/>
    <n v="112.96158159951"/>
    <n v="113.276315999529"/>
    <n v="115.30332147288701"/>
    <n v="113.047289772723"/>
    <n v="110.987772841162"/>
    <n v="116.35315487149001"/>
    <n v="111.33517297431899"/>
  </r>
  <r>
    <x v="236"/>
    <n v="113.98680824373299"/>
    <n v="113.163699223154"/>
    <n v="114.73119003844501"/>
    <n v="115.66554653796"/>
    <n v="113.852835645735"/>
    <n v="112.819027648863"/>
    <n v="112.898111461515"/>
    <n v="114.914374157727"/>
    <n v="113.346228877226"/>
    <n v="111.170750587999"/>
    <n v="116.731022933923"/>
    <n v="111.582853026755"/>
  </r>
  <r>
    <x v="237"/>
    <n v="113.715195605386"/>
    <n v="113.01474424778399"/>
    <n v="114.34865147289"/>
    <n v="115.253858752496"/>
    <n v="113.352304937925"/>
    <n v="112.80232663131299"/>
    <n v="112.43859621954699"/>
    <n v="114.672139482516"/>
    <n v="113.14121575998701"/>
    <n v="110.65823600785799"/>
    <n v="116.45563973226901"/>
    <n v="112.120401146109"/>
  </r>
  <r>
    <x v="238"/>
    <n v="113.424094792498"/>
    <n v="112.708312752043"/>
    <n v="114.071415021745"/>
    <n v="114.86454383902201"/>
    <n v="112.812622956637"/>
    <n v="112.71033196147"/>
    <n v="112.414558242691"/>
    <n v="114.679769979553"/>
    <n v="112.955875035996"/>
    <n v="110.744443839111"/>
    <n v="116.18770420031601"/>
    <n v="110.879784430161"/>
  </r>
  <r>
    <x v="239"/>
    <n v="112.30626377954199"/>
    <n v="112.492824769682"/>
    <n v="112.137546633707"/>
    <n v="112.78969160598299"/>
    <n v="111.18156839392699"/>
    <n v="110.482643666171"/>
    <n v="110.22212599434999"/>
    <n v="114.642109728075"/>
    <n v="113.27293107894501"/>
    <n v="109.702240556898"/>
    <n v="115.31968891398699"/>
    <n v="109.597034694418"/>
  </r>
  <r>
    <x v="240"/>
    <n v="112.14217977536801"/>
    <n v="111.91230464143401"/>
    <n v="112.350068233009"/>
    <n v="113.07832185693"/>
    <n v="111.70488956785"/>
    <n v="110.371532336589"/>
    <n v="110.743201174631"/>
    <n v="113.48328082572"/>
    <n v="112.41861115"/>
    <n v="109.264748280066"/>
    <n v="115.15282074912"/>
    <n v="109.774596644682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3AF66-E73C-46C4-BF8E-7404434C8D61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M24" firstHeaderRow="0" firstDataRow="1" firstDataCol="1"/>
  <pivotFields count="16">
    <pivotField numFmtId="14" showAll="0">
      <items count="2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4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sd="0" x="21"/>
        <item sd="0" x="22"/>
        <item t="default"/>
      </items>
    </pivotField>
  </pivotFields>
  <rowFields count="1">
    <field x="15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Average of nacional" fld="1" subtotal="average" baseField="0" baseItem="0"/>
    <dataField name="Average of sierra" fld="2" subtotal="average" baseField="0" baseItem="0"/>
    <dataField name="Average of costa" fld="3" subtotal="average" baseField="0" baseItem="0"/>
    <dataField name="Average of Guayaquil" fld="4" subtotal="average" baseField="0" baseItem="0"/>
    <dataField name="Average of Esmeraldas" fld="5" subtotal="average" baseField="0" baseItem="0"/>
    <dataField name="Average of Machala" fld="6" subtotal="average" baseField="0" baseItem="0"/>
    <dataField name="Average of Manta" fld="7" subtotal="average" baseField="0" baseItem="0"/>
    <dataField name="Average of Sto. Domingo" fld="8" subtotal="average" baseField="0" baseItem="0"/>
    <dataField name="Average of Quito" fld="9" subtotal="average" baseField="0" baseItem="0"/>
    <dataField name="Average of Loja" fld="10" subtotal="average" baseField="0" baseItem="0"/>
    <dataField name="Average of Cuenca" fld="11" subtotal="average" baseField="0" baseItem="0"/>
    <dataField name="Average of Ambato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9" sqref="M9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</v>
      </c>
    </row>
    <row r="2" spans="1:15" x14ac:dyDescent="0.25">
      <c r="A2">
        <v>1990</v>
      </c>
      <c r="B2">
        <v>1</v>
      </c>
      <c r="C2">
        <v>1.1292341001179955</v>
      </c>
      <c r="F2">
        <v>1.309181543427524</v>
      </c>
      <c r="K2">
        <v>1.110148150588695</v>
      </c>
      <c r="M2">
        <v>0.95132014492935701</v>
      </c>
      <c r="O2">
        <v>39</v>
      </c>
    </row>
    <row r="3" spans="1:15" x14ac:dyDescent="0.25">
      <c r="A3">
        <v>1990</v>
      </c>
      <c r="B3">
        <v>2</v>
      </c>
      <c r="C3">
        <v>1.1292341001179955</v>
      </c>
      <c r="F3">
        <v>1.309181543427524</v>
      </c>
      <c r="K3">
        <v>1.110148150588695</v>
      </c>
      <c r="M3">
        <v>0.95132014492935701</v>
      </c>
      <c r="O3">
        <v>39</v>
      </c>
    </row>
    <row r="4" spans="1:15" x14ac:dyDescent="0.25">
      <c r="A4">
        <v>1990</v>
      </c>
      <c r="B4">
        <v>3</v>
      </c>
      <c r="C4">
        <v>1.1292341001179955</v>
      </c>
      <c r="F4">
        <v>1.309181543427524</v>
      </c>
      <c r="K4">
        <v>1.110148150588695</v>
      </c>
      <c r="M4">
        <v>0.95132014492935701</v>
      </c>
      <c r="O4">
        <v>39</v>
      </c>
    </row>
    <row r="5" spans="1:15" x14ac:dyDescent="0.25">
      <c r="A5">
        <v>1990</v>
      </c>
      <c r="B5">
        <v>4</v>
      </c>
      <c r="C5">
        <v>1.1292341001179955</v>
      </c>
      <c r="F5">
        <v>1.309181543427524</v>
      </c>
      <c r="K5">
        <v>1.110148150588695</v>
      </c>
      <c r="M5">
        <v>0.95132014492935701</v>
      </c>
      <c r="O5">
        <v>39</v>
      </c>
    </row>
    <row r="6" spans="1:15" x14ac:dyDescent="0.25">
      <c r="A6">
        <v>1991</v>
      </c>
      <c r="B6">
        <v>1</v>
      </c>
      <c r="C6">
        <v>1.679424081814362</v>
      </c>
      <c r="F6">
        <v>1.9618661671463016</v>
      </c>
      <c r="K6">
        <v>1.6200133251646534</v>
      </c>
      <c r="M6">
        <v>1.4101074354328791</v>
      </c>
      <c r="O6">
        <v>36</v>
      </c>
    </row>
    <row r="7" spans="1:15" x14ac:dyDescent="0.25">
      <c r="A7">
        <v>1991</v>
      </c>
      <c r="B7">
        <v>2</v>
      </c>
      <c r="C7">
        <v>1.679424081814362</v>
      </c>
      <c r="F7">
        <v>1.9618661671463016</v>
      </c>
      <c r="K7">
        <v>1.6200133251646534</v>
      </c>
      <c r="M7">
        <v>1.4101074354328791</v>
      </c>
      <c r="O7">
        <v>36</v>
      </c>
    </row>
    <row r="8" spans="1:15" x14ac:dyDescent="0.25">
      <c r="A8">
        <v>1991</v>
      </c>
      <c r="B8">
        <v>3</v>
      </c>
      <c r="C8">
        <v>1.679424081814362</v>
      </c>
      <c r="F8">
        <v>1.9618661671463016</v>
      </c>
      <c r="K8">
        <v>1.6200133251646534</v>
      </c>
      <c r="M8">
        <v>1.4101074354328791</v>
      </c>
      <c r="O8">
        <v>36</v>
      </c>
    </row>
    <row r="9" spans="1:15" x14ac:dyDescent="0.25">
      <c r="A9">
        <v>1991</v>
      </c>
      <c r="B9">
        <v>4</v>
      </c>
      <c r="C9">
        <v>1.679424081814362</v>
      </c>
      <c r="F9">
        <v>1.9618661671463016</v>
      </c>
      <c r="K9">
        <v>1.6200133251646534</v>
      </c>
      <c r="M9">
        <v>1.4101074354328791</v>
      </c>
      <c r="O9">
        <v>36</v>
      </c>
    </row>
    <row r="10" spans="1:15" x14ac:dyDescent="0.25">
      <c r="A10">
        <v>1992</v>
      </c>
      <c r="B10">
        <v>1</v>
      </c>
      <c r="C10">
        <v>2.5964872928752736</v>
      </c>
      <c r="F10">
        <v>3.0201693090800119</v>
      </c>
      <c r="K10">
        <v>2.5416762322958109</v>
      </c>
      <c r="M10">
        <v>2.122161056107811</v>
      </c>
      <c r="O10">
        <v>30</v>
      </c>
    </row>
    <row r="11" spans="1:15" x14ac:dyDescent="0.25">
      <c r="A11">
        <v>1992</v>
      </c>
      <c r="B11">
        <v>2</v>
      </c>
      <c r="C11">
        <v>2.5964872928752736</v>
      </c>
      <c r="F11">
        <v>3.0201693090800119</v>
      </c>
      <c r="K11">
        <v>2.5416762322958109</v>
      </c>
      <c r="M11">
        <v>2.122161056107811</v>
      </c>
      <c r="O11">
        <v>40</v>
      </c>
    </row>
    <row r="12" spans="1:15" x14ac:dyDescent="0.25">
      <c r="A12">
        <v>1992</v>
      </c>
      <c r="B12">
        <v>3</v>
      </c>
      <c r="C12">
        <v>2.5964872928752736</v>
      </c>
      <c r="F12">
        <v>3.0201693090800119</v>
      </c>
      <c r="K12">
        <v>2.5416762322958109</v>
      </c>
      <c r="M12">
        <v>2.122161056107811</v>
      </c>
      <c r="O12">
        <v>40</v>
      </c>
    </row>
    <row r="13" spans="1:15" x14ac:dyDescent="0.25">
      <c r="A13">
        <v>1992</v>
      </c>
      <c r="B13">
        <v>4</v>
      </c>
      <c r="C13">
        <v>2.5964872928752736</v>
      </c>
      <c r="F13">
        <v>3.0201693090800119</v>
      </c>
      <c r="K13">
        <v>2.5416762322958109</v>
      </c>
      <c r="M13">
        <v>2.122161056107811</v>
      </c>
      <c r="O13">
        <v>40</v>
      </c>
    </row>
    <row r="14" spans="1:15" x14ac:dyDescent="0.25">
      <c r="A14">
        <v>1993</v>
      </c>
      <c r="B14">
        <v>1</v>
      </c>
      <c r="C14">
        <v>3.7637395512389054</v>
      </c>
      <c r="F14">
        <v>4.3198201125326108</v>
      </c>
      <c r="K14">
        <v>3.7715103743817475</v>
      </c>
      <c r="M14">
        <v>3.0944332915251529</v>
      </c>
      <c r="O14">
        <v>32</v>
      </c>
    </row>
    <row r="15" spans="1:15" x14ac:dyDescent="0.25">
      <c r="A15">
        <v>1993</v>
      </c>
      <c r="B15">
        <v>2</v>
      </c>
      <c r="C15">
        <v>3.7637395512389054</v>
      </c>
      <c r="F15">
        <v>4.3198201125326108</v>
      </c>
      <c r="K15">
        <v>3.7715103743817475</v>
      </c>
      <c r="M15">
        <v>3.0944332915251529</v>
      </c>
      <c r="O15">
        <v>34</v>
      </c>
    </row>
    <row r="16" spans="1:15" x14ac:dyDescent="0.25">
      <c r="A16">
        <v>1993</v>
      </c>
      <c r="B16">
        <v>3</v>
      </c>
      <c r="C16">
        <v>3.7637395512389054</v>
      </c>
      <c r="F16">
        <v>4.3198201125326108</v>
      </c>
      <c r="K16">
        <v>3.7715103743817475</v>
      </c>
      <c r="M16">
        <v>3.0944332915251529</v>
      </c>
      <c r="O16">
        <v>34</v>
      </c>
    </row>
    <row r="17" spans="1:15" x14ac:dyDescent="0.25">
      <c r="A17">
        <v>1993</v>
      </c>
      <c r="B17">
        <v>4</v>
      </c>
      <c r="C17">
        <v>3.7637395512389054</v>
      </c>
      <c r="F17">
        <v>4.3198201125326108</v>
      </c>
      <c r="K17">
        <v>3.7715103743817475</v>
      </c>
      <c r="M17">
        <v>3.0944332915251529</v>
      </c>
      <c r="O17">
        <v>34</v>
      </c>
    </row>
    <row r="18" spans="1:15" x14ac:dyDescent="0.25">
      <c r="A18">
        <v>1994</v>
      </c>
      <c r="B18">
        <v>1</v>
      </c>
      <c r="C18">
        <v>4.7916500111142142</v>
      </c>
      <c r="F18">
        <v>5.4893152208404485</v>
      </c>
      <c r="K18">
        <v>4.888547952825582</v>
      </c>
      <c r="M18">
        <v>3.9066125082593168</v>
      </c>
      <c r="O18">
        <v>32</v>
      </c>
    </row>
    <row r="19" spans="1:15" x14ac:dyDescent="0.25">
      <c r="A19">
        <v>1994</v>
      </c>
      <c r="B19">
        <v>2</v>
      </c>
      <c r="C19">
        <v>4.7916500111142142</v>
      </c>
      <c r="F19">
        <v>5.4893152208404485</v>
      </c>
      <c r="K19">
        <v>4.888547952825582</v>
      </c>
      <c r="M19">
        <v>3.9066125082593168</v>
      </c>
      <c r="O19">
        <v>32</v>
      </c>
    </row>
    <row r="20" spans="1:15" x14ac:dyDescent="0.25">
      <c r="A20">
        <v>1994</v>
      </c>
      <c r="B20">
        <v>3</v>
      </c>
      <c r="C20">
        <v>4.7916500111142142</v>
      </c>
      <c r="F20">
        <v>5.4893152208404485</v>
      </c>
      <c r="K20">
        <v>4.888547952825582</v>
      </c>
      <c r="M20">
        <v>3.9066125082593168</v>
      </c>
      <c r="O20">
        <v>32</v>
      </c>
    </row>
    <row r="21" spans="1:15" x14ac:dyDescent="0.25">
      <c r="A21">
        <v>1994</v>
      </c>
      <c r="B21">
        <v>4</v>
      </c>
      <c r="C21">
        <v>4.7916500111142142</v>
      </c>
      <c r="F21">
        <v>5.4893152208404485</v>
      </c>
      <c r="K21">
        <v>4.888547952825582</v>
      </c>
      <c r="M21">
        <v>3.9066125082593168</v>
      </c>
      <c r="O21">
        <v>32</v>
      </c>
    </row>
    <row r="22" spans="1:15" x14ac:dyDescent="0.25">
      <c r="A22">
        <v>1995</v>
      </c>
      <c r="B22">
        <v>1</v>
      </c>
      <c r="C22">
        <v>5.8905589365696729</v>
      </c>
      <c r="F22">
        <v>6.722592973595872</v>
      </c>
      <c r="K22">
        <v>6.093342588155247</v>
      </c>
      <c r="M22">
        <v>4.789139956086462</v>
      </c>
      <c r="O22">
        <v>32</v>
      </c>
    </row>
    <row r="23" spans="1:15" x14ac:dyDescent="0.25">
      <c r="A23">
        <v>1995</v>
      </c>
      <c r="B23">
        <v>2</v>
      </c>
      <c r="C23">
        <v>5.8905589365696729</v>
      </c>
      <c r="F23">
        <v>6.722592973595872</v>
      </c>
      <c r="K23">
        <v>6.093342588155247</v>
      </c>
      <c r="M23">
        <v>4.789139956086462</v>
      </c>
      <c r="O23">
        <v>33</v>
      </c>
    </row>
    <row r="24" spans="1:15" x14ac:dyDescent="0.25">
      <c r="A24">
        <v>1995</v>
      </c>
      <c r="B24">
        <v>3</v>
      </c>
      <c r="C24">
        <v>5.8905589365696729</v>
      </c>
      <c r="F24">
        <v>6.722592973595872</v>
      </c>
      <c r="K24">
        <v>6.093342588155247</v>
      </c>
      <c r="M24">
        <v>4.789139956086462</v>
      </c>
      <c r="O24">
        <v>33</v>
      </c>
    </row>
    <row r="25" spans="1:15" x14ac:dyDescent="0.25">
      <c r="A25">
        <v>1995</v>
      </c>
      <c r="B25">
        <v>4</v>
      </c>
      <c r="C25">
        <v>5.8905589365696729</v>
      </c>
      <c r="F25">
        <v>6.722592973595872</v>
      </c>
      <c r="K25">
        <v>6.093342588155247</v>
      </c>
      <c r="M25">
        <v>4.789139956086462</v>
      </c>
      <c r="O25">
        <v>33</v>
      </c>
    </row>
    <row r="26" spans="1:15" x14ac:dyDescent="0.25">
      <c r="A26">
        <v>1996</v>
      </c>
      <c r="B26">
        <v>1</v>
      </c>
      <c r="C26">
        <v>7.327213278568844</v>
      </c>
      <c r="F26">
        <v>8.3125404097179576</v>
      </c>
      <c r="K26">
        <v>7.7034690400936388</v>
      </c>
      <c r="M26">
        <v>6.1452311523484218</v>
      </c>
      <c r="O26">
        <v>30</v>
      </c>
    </row>
    <row r="27" spans="1:15" x14ac:dyDescent="0.25">
      <c r="A27">
        <v>1996</v>
      </c>
      <c r="B27">
        <v>2</v>
      </c>
      <c r="C27">
        <v>7.327213278568844</v>
      </c>
      <c r="F27">
        <v>8.3125404097179576</v>
      </c>
      <c r="K27">
        <v>7.7034690400936388</v>
      </c>
      <c r="M27">
        <v>6.1452311523484218</v>
      </c>
      <c r="O27">
        <v>30</v>
      </c>
    </row>
    <row r="28" spans="1:15" x14ac:dyDescent="0.25">
      <c r="A28">
        <v>1996</v>
      </c>
      <c r="B28">
        <v>3</v>
      </c>
      <c r="C28">
        <v>7.327213278568844</v>
      </c>
      <c r="F28">
        <v>8.3125404097179576</v>
      </c>
      <c r="K28">
        <v>7.7034690400936388</v>
      </c>
      <c r="M28">
        <v>6.1452311523484218</v>
      </c>
      <c r="O28">
        <v>30</v>
      </c>
    </row>
    <row r="29" spans="1:15" x14ac:dyDescent="0.25">
      <c r="A29">
        <v>1996</v>
      </c>
      <c r="B29">
        <v>4</v>
      </c>
      <c r="C29">
        <v>7.327213278568844</v>
      </c>
      <c r="F29">
        <v>8.3125404097179576</v>
      </c>
      <c r="K29">
        <v>7.7034690400936388</v>
      </c>
      <c r="M29">
        <v>6.1452311523484218</v>
      </c>
      <c r="O29">
        <v>30</v>
      </c>
    </row>
    <row r="30" spans="1:15" x14ac:dyDescent="0.25">
      <c r="A30">
        <v>1997</v>
      </c>
      <c r="B30">
        <v>1</v>
      </c>
      <c r="C30">
        <v>9.5759200276509624</v>
      </c>
      <c r="F30">
        <v>11.043915191467713</v>
      </c>
      <c r="K30">
        <v>9.8963070929555101</v>
      </c>
      <c r="M30">
        <v>8.005898901384878</v>
      </c>
      <c r="O30">
        <v>23.757127138141399</v>
      </c>
    </row>
    <row r="31" spans="1:15" x14ac:dyDescent="0.25">
      <c r="A31">
        <v>1997</v>
      </c>
      <c r="B31">
        <v>2</v>
      </c>
      <c r="C31">
        <v>9.5759200276509624</v>
      </c>
      <c r="F31">
        <v>11.043915191467713</v>
      </c>
      <c r="K31">
        <v>9.8963070929555101</v>
      </c>
      <c r="M31">
        <v>8.005898901384878</v>
      </c>
      <c r="O31">
        <v>25.007502250675198</v>
      </c>
    </row>
    <row r="32" spans="1:15" x14ac:dyDescent="0.25">
      <c r="A32">
        <v>1997</v>
      </c>
      <c r="B32">
        <v>3</v>
      </c>
      <c r="C32">
        <v>9.5759200276509624</v>
      </c>
      <c r="F32">
        <v>11.043915191467713</v>
      </c>
      <c r="K32">
        <v>9.8963070929555101</v>
      </c>
      <c r="M32">
        <v>8.005898901384878</v>
      </c>
      <c r="O32">
        <v>25.007502250675198</v>
      </c>
    </row>
    <row r="33" spans="1:15" x14ac:dyDescent="0.25">
      <c r="A33">
        <v>1997</v>
      </c>
      <c r="B33">
        <v>4</v>
      </c>
      <c r="C33">
        <v>9.5759200276509624</v>
      </c>
      <c r="F33">
        <v>11.043915191467713</v>
      </c>
      <c r="K33">
        <v>9.8963070929555101</v>
      </c>
      <c r="M33">
        <v>8.005898901384878</v>
      </c>
      <c r="O33">
        <v>25.007502250675198</v>
      </c>
    </row>
    <row r="34" spans="1:15" x14ac:dyDescent="0.25">
      <c r="A34">
        <v>1998</v>
      </c>
      <c r="B34">
        <v>1</v>
      </c>
      <c r="C34">
        <v>11.900492870186486</v>
      </c>
      <c r="F34">
        <v>13.458187711566156</v>
      </c>
      <c r="K34">
        <v>11.962290608362805</v>
      </c>
      <c r="M34">
        <v>10.345311463943142</v>
      </c>
      <c r="O34">
        <v>18.360752056404198</v>
      </c>
    </row>
    <row r="35" spans="1:15" x14ac:dyDescent="0.25">
      <c r="A35">
        <v>1998</v>
      </c>
      <c r="B35">
        <v>2</v>
      </c>
      <c r="C35">
        <v>11.900492870186486</v>
      </c>
      <c r="F35">
        <v>13.458187711566156</v>
      </c>
      <c r="K35">
        <v>11.962290608362805</v>
      </c>
      <c r="M35">
        <v>10.345311463943142</v>
      </c>
      <c r="O35">
        <v>18.360752056404198</v>
      </c>
    </row>
    <row r="36" spans="1:15" x14ac:dyDescent="0.25">
      <c r="A36">
        <v>1998</v>
      </c>
      <c r="B36">
        <v>3</v>
      </c>
      <c r="C36">
        <v>11.900492870186486</v>
      </c>
      <c r="F36">
        <v>13.458187711566156</v>
      </c>
      <c r="K36">
        <v>11.962290608362805</v>
      </c>
      <c r="M36">
        <v>10.345311463943142</v>
      </c>
      <c r="O36">
        <v>18.360752056404198</v>
      </c>
    </row>
    <row r="37" spans="1:15" x14ac:dyDescent="0.25">
      <c r="A37">
        <v>1998</v>
      </c>
      <c r="B37">
        <v>4</v>
      </c>
      <c r="C37">
        <v>11.900492870186486</v>
      </c>
      <c r="F37">
        <v>13.458187711566156</v>
      </c>
      <c r="K37">
        <v>11.962290608362805</v>
      </c>
      <c r="M37">
        <v>10.345311463943142</v>
      </c>
      <c r="O37">
        <v>18.360752056404198</v>
      </c>
    </row>
    <row r="38" spans="1:15" x14ac:dyDescent="0.25">
      <c r="A38">
        <v>1999</v>
      </c>
      <c r="B38">
        <v>1</v>
      </c>
      <c r="C38">
        <v>19.841844318382776</v>
      </c>
      <c r="F38">
        <v>22.42789509345906</v>
      </c>
      <c r="K38">
        <v>19.995524022658032</v>
      </c>
      <c r="M38">
        <v>17.29681747186785</v>
      </c>
      <c r="O38">
        <v>8.4070350068937696</v>
      </c>
    </row>
    <row r="39" spans="1:15" x14ac:dyDescent="0.25">
      <c r="A39">
        <v>1999</v>
      </c>
      <c r="B39">
        <v>2</v>
      </c>
      <c r="C39">
        <v>19.841844318382776</v>
      </c>
      <c r="F39">
        <v>22.42789509345906</v>
      </c>
      <c r="K39">
        <v>19.995524022658032</v>
      </c>
      <c r="M39">
        <v>17.29681747186785</v>
      </c>
      <c r="O39">
        <v>8.4070350068937696</v>
      </c>
    </row>
    <row r="40" spans="1:15" x14ac:dyDescent="0.25">
      <c r="A40">
        <v>1999</v>
      </c>
      <c r="B40">
        <v>3</v>
      </c>
      <c r="C40">
        <v>19.841844318382776</v>
      </c>
      <c r="F40">
        <v>22.42789509345906</v>
      </c>
      <c r="K40">
        <v>19.995524022658032</v>
      </c>
      <c r="M40">
        <v>17.29681747186785</v>
      </c>
      <c r="O40">
        <v>8.4070350068937696</v>
      </c>
    </row>
    <row r="41" spans="1:15" x14ac:dyDescent="0.25">
      <c r="A41">
        <v>1999</v>
      </c>
      <c r="B41">
        <v>4</v>
      </c>
      <c r="C41">
        <v>19.841844318382776</v>
      </c>
      <c r="F41">
        <v>22.42789509345906</v>
      </c>
      <c r="K41">
        <v>19.995524022658032</v>
      </c>
      <c r="M41">
        <v>17.29681747186785</v>
      </c>
      <c r="O41">
        <v>8.4070350068937696</v>
      </c>
    </row>
    <row r="42" spans="1:15" x14ac:dyDescent="0.25">
      <c r="A42">
        <v>2000</v>
      </c>
      <c r="B42">
        <v>1</v>
      </c>
      <c r="C42">
        <v>38.871625048383891</v>
      </c>
      <c r="F42">
        <v>43.510914870855018</v>
      </c>
      <c r="K42">
        <v>39.379126713526553</v>
      </c>
      <c r="M42">
        <v>36.055094174036924</v>
      </c>
      <c r="O42">
        <v>4</v>
      </c>
    </row>
    <row r="43" spans="1:15" x14ac:dyDescent="0.25">
      <c r="A43">
        <v>2000</v>
      </c>
      <c r="B43">
        <v>2</v>
      </c>
      <c r="C43">
        <v>38.871625048383891</v>
      </c>
      <c r="F43">
        <v>43.510914870855018</v>
      </c>
      <c r="K43">
        <v>39.379126713526553</v>
      </c>
      <c r="M43">
        <v>36.055094174036924</v>
      </c>
      <c r="O43">
        <v>56.7</v>
      </c>
    </row>
    <row r="44" spans="1:15" x14ac:dyDescent="0.25">
      <c r="A44">
        <v>2000</v>
      </c>
      <c r="B44">
        <v>3</v>
      </c>
      <c r="C44">
        <v>38.871625048383891</v>
      </c>
      <c r="F44">
        <v>43.510914870855018</v>
      </c>
      <c r="K44">
        <v>39.379126713526553</v>
      </c>
      <c r="M44">
        <v>36.055094174036924</v>
      </c>
      <c r="O44">
        <v>56.7</v>
      </c>
    </row>
    <row r="45" spans="1:15" x14ac:dyDescent="0.25">
      <c r="A45">
        <v>2000</v>
      </c>
      <c r="B45">
        <v>4</v>
      </c>
      <c r="C45">
        <v>38.871625048383891</v>
      </c>
      <c r="F45">
        <v>43.510914870855018</v>
      </c>
      <c r="K45">
        <v>39.379126713526553</v>
      </c>
      <c r="M45">
        <v>36.055094174036924</v>
      </c>
      <c r="O45">
        <v>56.7</v>
      </c>
    </row>
    <row r="46" spans="1:15" x14ac:dyDescent="0.25">
      <c r="A46">
        <v>2001</v>
      </c>
      <c r="B46">
        <v>1</v>
      </c>
      <c r="C46">
        <v>53.515513935026419</v>
      </c>
      <c r="F46">
        <v>59.776795473755968</v>
      </c>
      <c r="K46">
        <v>53.762833363289431</v>
      </c>
      <c r="M46">
        <v>52.619109253403565</v>
      </c>
      <c r="O46">
        <v>85.65</v>
      </c>
    </row>
    <row r="47" spans="1:15" x14ac:dyDescent="0.25">
      <c r="A47">
        <v>2001</v>
      </c>
      <c r="B47">
        <v>2</v>
      </c>
      <c r="C47">
        <v>53.515513935026419</v>
      </c>
      <c r="F47">
        <v>59.776795473755968</v>
      </c>
      <c r="K47">
        <v>53.762833363289431</v>
      </c>
      <c r="M47">
        <v>52.619109253403565</v>
      </c>
      <c r="O47">
        <v>85.65</v>
      </c>
    </row>
    <row r="48" spans="1:15" x14ac:dyDescent="0.25">
      <c r="A48">
        <v>2001</v>
      </c>
      <c r="B48">
        <v>3</v>
      </c>
      <c r="C48">
        <v>53.515513935026419</v>
      </c>
      <c r="F48">
        <v>59.776795473755968</v>
      </c>
      <c r="K48">
        <v>53.762833363289431</v>
      </c>
      <c r="M48">
        <v>52.619109253403565</v>
      </c>
      <c r="O48">
        <v>85.65</v>
      </c>
    </row>
    <row r="49" spans="1:15" x14ac:dyDescent="0.25">
      <c r="A49">
        <v>2001</v>
      </c>
      <c r="B49">
        <v>4</v>
      </c>
      <c r="C49">
        <v>53.515513935026419</v>
      </c>
      <c r="F49">
        <v>59.776795473755968</v>
      </c>
      <c r="K49">
        <v>53.762833363289431</v>
      </c>
      <c r="M49">
        <v>52.619109253403565</v>
      </c>
      <c r="O49">
        <v>85.65</v>
      </c>
    </row>
    <row r="50" spans="1:15" x14ac:dyDescent="0.25">
      <c r="A50">
        <v>2002</v>
      </c>
      <c r="B50">
        <v>1</v>
      </c>
      <c r="C50">
        <v>60.226519090536954</v>
      </c>
      <c r="F50">
        <v>65.204306762798424</v>
      </c>
      <c r="K50">
        <v>60.39165009433377</v>
      </c>
      <c r="M50">
        <v>62.461882430672773</v>
      </c>
      <c r="O50">
        <v>104.88</v>
      </c>
    </row>
    <row r="51" spans="1:15" x14ac:dyDescent="0.25">
      <c r="A51">
        <v>2002</v>
      </c>
      <c r="B51">
        <v>2</v>
      </c>
      <c r="C51">
        <v>60.226519090536954</v>
      </c>
      <c r="F51">
        <v>65.204306762798424</v>
      </c>
      <c r="K51">
        <v>60.39165009433377</v>
      </c>
      <c r="M51">
        <v>62.461882430672773</v>
      </c>
      <c r="O51">
        <v>104.88</v>
      </c>
    </row>
    <row r="52" spans="1:15" x14ac:dyDescent="0.25">
      <c r="A52">
        <v>2002</v>
      </c>
      <c r="B52">
        <v>3</v>
      </c>
      <c r="C52">
        <v>60.226519090536954</v>
      </c>
      <c r="F52">
        <v>65.204306762798424</v>
      </c>
      <c r="K52">
        <v>60.39165009433377</v>
      </c>
      <c r="M52">
        <v>62.461882430672773</v>
      </c>
      <c r="O52">
        <v>104.88</v>
      </c>
    </row>
    <row r="53" spans="1:15" x14ac:dyDescent="0.25">
      <c r="A53">
        <v>2002</v>
      </c>
      <c r="B53">
        <v>4</v>
      </c>
      <c r="C53">
        <v>60.226519090536954</v>
      </c>
      <c r="F53">
        <v>65.204306762798424</v>
      </c>
      <c r="K53">
        <v>60.39165009433377</v>
      </c>
      <c r="M53">
        <v>62.461882430672773</v>
      </c>
      <c r="O53">
        <v>104.88</v>
      </c>
    </row>
    <row r="54" spans="1:15" x14ac:dyDescent="0.25">
      <c r="A54">
        <v>2003</v>
      </c>
      <c r="B54">
        <v>1</v>
      </c>
      <c r="C54">
        <v>65.025973967945703</v>
      </c>
      <c r="F54">
        <v>69.443972165819062</v>
      </c>
      <c r="K54">
        <v>65.136730836285381</v>
      </c>
      <c r="M54">
        <v>66.054660558177531</v>
      </c>
      <c r="O54">
        <v>129.91</v>
      </c>
    </row>
    <row r="55" spans="1:15" x14ac:dyDescent="0.25">
      <c r="A55">
        <v>2003</v>
      </c>
      <c r="B55">
        <v>2</v>
      </c>
      <c r="C55">
        <v>65.025973967945703</v>
      </c>
      <c r="F55">
        <v>69.443972165819062</v>
      </c>
      <c r="K55">
        <v>65.136730836285381</v>
      </c>
      <c r="M55">
        <v>66.054660558177531</v>
      </c>
      <c r="O55">
        <v>129.91</v>
      </c>
    </row>
    <row r="56" spans="1:15" x14ac:dyDescent="0.25">
      <c r="A56">
        <v>2003</v>
      </c>
      <c r="B56">
        <v>3</v>
      </c>
      <c r="C56">
        <v>65.025973967945703</v>
      </c>
      <c r="F56">
        <v>69.443972165819062</v>
      </c>
      <c r="K56">
        <v>65.136730836285381</v>
      </c>
      <c r="M56">
        <v>66.054660558177531</v>
      </c>
      <c r="O56">
        <v>129.91</v>
      </c>
    </row>
    <row r="57" spans="1:15" x14ac:dyDescent="0.25">
      <c r="A57">
        <v>2003</v>
      </c>
      <c r="B57">
        <v>4</v>
      </c>
      <c r="C57">
        <v>65.025973967945703</v>
      </c>
      <c r="F57">
        <v>69.443972165819062</v>
      </c>
      <c r="K57">
        <v>65.136730836285381</v>
      </c>
      <c r="M57">
        <v>66.054660558177531</v>
      </c>
      <c r="O57">
        <v>129.91</v>
      </c>
    </row>
    <row r="58" spans="1:15" x14ac:dyDescent="0.25">
      <c r="A58">
        <v>2004</v>
      </c>
      <c r="B58">
        <v>1</v>
      </c>
      <c r="C58">
        <v>66.744303381325736</v>
      </c>
      <c r="F58">
        <v>70.425604948945121</v>
      </c>
      <c r="K58">
        <v>66.947197313360647</v>
      </c>
      <c r="M58">
        <v>67.347904910007045</v>
      </c>
      <c r="O58">
        <v>135.63</v>
      </c>
    </row>
    <row r="59" spans="1:15" x14ac:dyDescent="0.25">
      <c r="A59">
        <v>2004</v>
      </c>
      <c r="B59">
        <v>2</v>
      </c>
      <c r="C59">
        <v>66.744303381325736</v>
      </c>
      <c r="F59">
        <v>70.425604948945121</v>
      </c>
      <c r="K59">
        <v>66.947197313360647</v>
      </c>
      <c r="M59">
        <v>67.347904910007045</v>
      </c>
      <c r="O59">
        <v>135.63</v>
      </c>
    </row>
    <row r="60" spans="1:15" x14ac:dyDescent="0.25">
      <c r="A60">
        <v>2004</v>
      </c>
      <c r="B60">
        <v>3</v>
      </c>
      <c r="C60">
        <v>66.744303381325736</v>
      </c>
      <c r="F60">
        <v>70.425604948945121</v>
      </c>
      <c r="K60">
        <v>66.947197313360647</v>
      </c>
      <c r="M60">
        <v>67.347904910007045</v>
      </c>
      <c r="O60">
        <v>135.63</v>
      </c>
    </row>
    <row r="61" spans="1:15" x14ac:dyDescent="0.25">
      <c r="A61">
        <v>2004</v>
      </c>
      <c r="B61">
        <v>4</v>
      </c>
      <c r="C61">
        <v>66.744303381325736</v>
      </c>
      <c r="F61">
        <v>70.425604948945121</v>
      </c>
      <c r="K61">
        <v>66.947197313360647</v>
      </c>
      <c r="M61">
        <v>67.347904910007045</v>
      </c>
      <c r="O61">
        <v>135.63</v>
      </c>
    </row>
    <row r="62" spans="1:15" x14ac:dyDescent="0.25">
      <c r="A62">
        <v>2005</v>
      </c>
      <c r="B62">
        <v>1</v>
      </c>
      <c r="C62">
        <v>67.302801401298808</v>
      </c>
      <c r="D62">
        <v>66.784461069880095</v>
      </c>
      <c r="E62">
        <v>67.898847866505335</v>
      </c>
      <c r="F62">
        <v>70.598284200698842</v>
      </c>
      <c r="G62">
        <v>65.8243109095352</v>
      </c>
      <c r="H62">
        <v>64.958275083777167</v>
      </c>
      <c r="I62">
        <v>63.800468349897564</v>
      </c>
      <c r="K62">
        <v>67.595315762030239</v>
      </c>
      <c r="L62">
        <v>65.705747134660569</v>
      </c>
      <c r="M62">
        <v>68.637378700976441</v>
      </c>
      <c r="N62">
        <v>64.559321359685569</v>
      </c>
      <c r="O62">
        <v>150</v>
      </c>
    </row>
    <row r="63" spans="1:15" x14ac:dyDescent="0.25">
      <c r="A63">
        <v>2005</v>
      </c>
      <c r="B63">
        <v>2</v>
      </c>
      <c r="C63">
        <v>68.142548825198034</v>
      </c>
      <c r="D63">
        <v>67.38525053414601</v>
      </c>
      <c r="E63">
        <v>69.020733275845728</v>
      </c>
      <c r="F63">
        <v>71.677461804441194</v>
      </c>
      <c r="G63">
        <v>67.231729101698264</v>
      </c>
      <c r="H63">
        <v>65.964466001365011</v>
      </c>
      <c r="I63">
        <v>64.788203920439628</v>
      </c>
      <c r="K63">
        <v>68.144266265463571</v>
      </c>
      <c r="L63">
        <v>66.114021917153636</v>
      </c>
      <c r="M63">
        <v>69.267732690201356</v>
      </c>
      <c r="N63">
        <v>65.495066163170165</v>
      </c>
      <c r="O63">
        <v>150</v>
      </c>
    </row>
    <row r="64" spans="1:15" x14ac:dyDescent="0.25">
      <c r="A64">
        <v>2005</v>
      </c>
      <c r="B64">
        <v>3</v>
      </c>
      <c r="C64">
        <v>68.204381725139328</v>
      </c>
      <c r="D64">
        <v>67.732960187457408</v>
      </c>
      <c r="E64">
        <v>68.741388314483871</v>
      </c>
      <c r="F64">
        <v>71.245838809306463</v>
      </c>
      <c r="G64">
        <v>66.788161560844188</v>
      </c>
      <c r="H64">
        <v>66.008494028290144</v>
      </c>
      <c r="I64">
        <v>64.960874858966292</v>
      </c>
      <c r="K64">
        <v>68.619499931933802</v>
      </c>
      <c r="L64">
        <v>66.640527010612161</v>
      </c>
      <c r="M64">
        <v>69.135852955830799</v>
      </c>
      <c r="N64">
        <v>65.534814967523531</v>
      </c>
      <c r="O64">
        <v>150</v>
      </c>
    </row>
    <row r="65" spans="1:15" x14ac:dyDescent="0.25">
      <c r="A65">
        <v>2005</v>
      </c>
      <c r="B65">
        <v>4</v>
      </c>
      <c r="C65">
        <v>68.881268287069773</v>
      </c>
      <c r="D65">
        <v>68.628642648835509</v>
      </c>
      <c r="E65">
        <v>69.155900192633737</v>
      </c>
      <c r="F65">
        <v>71.432182667921964</v>
      </c>
      <c r="G65">
        <v>67.742890817393402</v>
      </c>
      <c r="H65">
        <v>66.257725187320361</v>
      </c>
      <c r="I65">
        <v>65.501505547622074</v>
      </c>
      <c r="K65">
        <v>69.487477202455594</v>
      </c>
      <c r="L65">
        <v>67.760907670081863</v>
      </c>
      <c r="M65">
        <v>69.808101634043496</v>
      </c>
      <c r="N65">
        <v>66.38470217081624</v>
      </c>
      <c r="O65">
        <v>150</v>
      </c>
    </row>
    <row r="66" spans="1:15" x14ac:dyDescent="0.25">
      <c r="A66">
        <v>2006</v>
      </c>
      <c r="B66">
        <v>1</v>
      </c>
      <c r="C66">
        <v>69.866028212439431</v>
      </c>
      <c r="D66">
        <v>69.451613119957628</v>
      </c>
      <c r="E66">
        <v>70.333001157899773</v>
      </c>
      <c r="F66">
        <v>72.396559845243203</v>
      </c>
      <c r="G66">
        <v>69.399267909444873</v>
      </c>
      <c r="H66">
        <v>67.172169082608789</v>
      </c>
      <c r="I66">
        <v>66.826571964860364</v>
      </c>
      <c r="K66">
        <v>70.227910074504123</v>
      </c>
      <c r="L66">
        <v>68.707376665708409</v>
      </c>
      <c r="M66">
        <v>70.7265385295279</v>
      </c>
      <c r="N66">
        <v>67.28453990516077</v>
      </c>
      <c r="O66">
        <v>160</v>
      </c>
    </row>
    <row r="67" spans="1:15" x14ac:dyDescent="0.25">
      <c r="A67">
        <v>2006</v>
      </c>
      <c r="B67">
        <v>2</v>
      </c>
      <c r="C67">
        <v>70.262819184092038</v>
      </c>
      <c r="D67">
        <v>69.628533949848133</v>
      </c>
      <c r="E67">
        <v>70.994081646614731</v>
      </c>
      <c r="F67">
        <v>73.129417338121826</v>
      </c>
      <c r="G67">
        <v>70.093461001534479</v>
      </c>
      <c r="H67">
        <v>67.867261215389831</v>
      </c>
      <c r="I67">
        <v>67.26217582827023</v>
      </c>
      <c r="K67">
        <v>70.565181844884037</v>
      </c>
      <c r="L67">
        <v>68.597706194238597</v>
      </c>
      <c r="M67">
        <v>71.118865466150837</v>
      </c>
      <c r="N67">
        <v>67.171548450433235</v>
      </c>
      <c r="O67">
        <v>160</v>
      </c>
    </row>
    <row r="68" spans="1:15" x14ac:dyDescent="0.25">
      <c r="A68">
        <v>2006</v>
      </c>
      <c r="B68">
        <v>3</v>
      </c>
      <c r="C68">
        <v>70.378152668449502</v>
      </c>
      <c r="D68">
        <v>70.003849736690668</v>
      </c>
      <c r="E68">
        <v>70.799560755771708</v>
      </c>
      <c r="F68">
        <v>72.929848474199943</v>
      </c>
      <c r="G68">
        <v>69.390757943527674</v>
      </c>
      <c r="H68">
        <v>67.31393711262244</v>
      </c>
      <c r="I68">
        <v>67.668261921723371</v>
      </c>
      <c r="K68">
        <v>70.739889695115096</v>
      </c>
      <c r="L68">
        <v>69.694279145554674</v>
      </c>
      <c r="M68">
        <v>71.116126366843162</v>
      </c>
      <c r="N68">
        <v>67.590347006896494</v>
      </c>
      <c r="O68">
        <v>160</v>
      </c>
    </row>
    <row r="69" spans="1:15" x14ac:dyDescent="0.25">
      <c r="A69">
        <v>2006</v>
      </c>
      <c r="B69">
        <v>4</v>
      </c>
      <c r="C69">
        <v>71.014112354159138</v>
      </c>
      <c r="D69">
        <v>70.81803298994457</v>
      </c>
      <c r="E69">
        <v>71.222913510480495</v>
      </c>
      <c r="F69">
        <v>73.345536715098135</v>
      </c>
      <c r="G69">
        <v>69.92351323936704</v>
      </c>
      <c r="H69">
        <v>67.950296329789808</v>
      </c>
      <c r="I69">
        <v>67.946973459744839</v>
      </c>
      <c r="K69">
        <v>71.486356268891839</v>
      </c>
      <c r="L69">
        <v>70.9267678222961</v>
      </c>
      <c r="M69">
        <v>71.497736155607569</v>
      </c>
      <c r="N69">
        <v>68.390690201084041</v>
      </c>
      <c r="O69">
        <v>160</v>
      </c>
    </row>
    <row r="70" spans="1:15" x14ac:dyDescent="0.25">
      <c r="A70">
        <v>2007</v>
      </c>
      <c r="B70">
        <v>1</v>
      </c>
      <c r="C70">
        <v>71.303947443527463</v>
      </c>
      <c r="D70">
        <v>70.933289654271633</v>
      </c>
      <c r="E70">
        <v>71.720687598926432</v>
      </c>
      <c r="F70">
        <v>73.778239848416902</v>
      </c>
      <c r="G70">
        <v>70.572269923243766</v>
      </c>
      <c r="H70">
        <v>68.632310830946309</v>
      </c>
      <c r="I70">
        <v>68.414848397244938</v>
      </c>
      <c r="K70">
        <v>71.5682639907576</v>
      </c>
      <c r="L70">
        <v>70.935706087747732</v>
      </c>
      <c r="M70">
        <v>71.876752295514109</v>
      </c>
      <c r="N70">
        <v>68.581198572950427</v>
      </c>
      <c r="O70">
        <v>170</v>
      </c>
    </row>
    <row r="71" spans="1:15" x14ac:dyDescent="0.25">
      <c r="A71">
        <v>2007</v>
      </c>
      <c r="B71">
        <v>2</v>
      </c>
      <c r="C71">
        <v>71.465318784797532</v>
      </c>
      <c r="D71">
        <v>70.959589563347777</v>
      </c>
      <c r="E71">
        <v>72.042963480256375</v>
      </c>
      <c r="F71">
        <v>73.973236207020932</v>
      </c>
      <c r="G71">
        <v>71.191446910990166</v>
      </c>
      <c r="H71">
        <v>68.922888063181333</v>
      </c>
      <c r="I71">
        <v>68.785972243244245</v>
      </c>
      <c r="K71">
        <v>71.572292905557376</v>
      </c>
      <c r="L71">
        <v>71.139528494577633</v>
      </c>
      <c r="M71">
        <v>72.014357380921695</v>
      </c>
      <c r="N71">
        <v>68.443706310287681</v>
      </c>
      <c r="O71">
        <v>170</v>
      </c>
    </row>
    <row r="72" spans="1:15" x14ac:dyDescent="0.25">
      <c r="A72">
        <v>2007</v>
      </c>
      <c r="B72">
        <v>3</v>
      </c>
      <c r="C72">
        <v>72.161891421993332</v>
      </c>
      <c r="D72">
        <v>71.98352401047417</v>
      </c>
      <c r="E72">
        <v>72.349183887925832</v>
      </c>
      <c r="F72">
        <v>74.153281541718727</v>
      </c>
      <c r="G72">
        <v>71.668715751609781</v>
      </c>
      <c r="H72">
        <v>69.324874823860867</v>
      </c>
      <c r="I72">
        <v>69.223744394016038</v>
      </c>
      <c r="K72">
        <v>72.553196177265264</v>
      </c>
      <c r="L72">
        <v>72.201623841145604</v>
      </c>
      <c r="M72">
        <v>72.942411661323732</v>
      </c>
      <c r="N72">
        <v>69.597708343461122</v>
      </c>
      <c r="O72">
        <v>170</v>
      </c>
    </row>
    <row r="73" spans="1:15" x14ac:dyDescent="0.25">
      <c r="A73">
        <v>2007</v>
      </c>
      <c r="B73">
        <v>4</v>
      </c>
      <c r="C73">
        <v>72.997895482252574</v>
      </c>
      <c r="D73">
        <v>72.892961334324681</v>
      </c>
      <c r="E73">
        <v>73.097386802686628</v>
      </c>
      <c r="F73">
        <v>74.866953901988168</v>
      </c>
      <c r="G73">
        <v>72.565142773707976</v>
      </c>
      <c r="H73">
        <v>70.178784591742442</v>
      </c>
      <c r="I73">
        <v>69.888410616682179</v>
      </c>
      <c r="K73">
        <v>73.444524958275963</v>
      </c>
      <c r="L73">
        <v>73.187149516912825</v>
      </c>
      <c r="M73">
        <v>74.206213734641267</v>
      </c>
      <c r="N73">
        <v>70.315144561456449</v>
      </c>
      <c r="O73">
        <v>170</v>
      </c>
    </row>
    <row r="74" spans="1:15" x14ac:dyDescent="0.25">
      <c r="A74">
        <v>2008</v>
      </c>
      <c r="B74">
        <v>1</v>
      </c>
      <c r="C74">
        <v>75.071262295822677</v>
      </c>
      <c r="D74">
        <v>74.834650750310203</v>
      </c>
      <c r="E74">
        <v>75.326944202895064</v>
      </c>
      <c r="F74">
        <v>76.945281959811936</v>
      </c>
      <c r="G74">
        <v>74.939799048734372</v>
      </c>
      <c r="H74">
        <v>73.062448266002932</v>
      </c>
      <c r="I74">
        <v>72.183366949261384</v>
      </c>
      <c r="K74">
        <v>75.479697169291171</v>
      </c>
      <c r="L74">
        <v>75.206263057145989</v>
      </c>
      <c r="M74">
        <v>75.62826314951684</v>
      </c>
      <c r="N74">
        <v>72.156486532772973</v>
      </c>
      <c r="O74">
        <v>200</v>
      </c>
    </row>
    <row r="75" spans="1:15" x14ac:dyDescent="0.25">
      <c r="A75">
        <v>2008</v>
      </c>
      <c r="B75">
        <v>2</v>
      </c>
      <c r="C75">
        <v>77.935062259732959</v>
      </c>
      <c r="D75">
        <v>77.43615311241436</v>
      </c>
      <c r="E75">
        <v>78.502314654528803</v>
      </c>
      <c r="F75">
        <v>79.808391782223012</v>
      </c>
      <c r="G75">
        <v>78.618885667163568</v>
      </c>
      <c r="H75">
        <v>75.751100288229566</v>
      </c>
      <c r="I75">
        <v>75.807612511189134</v>
      </c>
      <c r="K75">
        <v>77.880409678929212</v>
      </c>
      <c r="L75">
        <v>78.249801527941813</v>
      </c>
      <c r="M75">
        <v>77.964759405149223</v>
      </c>
      <c r="N75">
        <v>75.020930416611833</v>
      </c>
      <c r="O75">
        <v>200</v>
      </c>
    </row>
    <row r="76" spans="1:15" x14ac:dyDescent="0.25">
      <c r="A76">
        <v>2008</v>
      </c>
      <c r="B76">
        <v>3</v>
      </c>
      <c r="C76">
        <v>79.344005445432401</v>
      </c>
      <c r="D76">
        <v>78.990362139287768</v>
      </c>
      <c r="E76">
        <v>79.737655140868299</v>
      </c>
      <c r="F76">
        <v>81.079640261923501</v>
      </c>
      <c r="G76">
        <v>79.809503632239398</v>
      </c>
      <c r="H76">
        <v>76.930439396604399</v>
      </c>
      <c r="I76">
        <v>77.009552617375363</v>
      </c>
      <c r="K76">
        <v>79.164922677436266</v>
      </c>
      <c r="L76">
        <v>79.911568796952707</v>
      </c>
      <c r="M76">
        <v>79.863537997427201</v>
      </c>
      <c r="N76">
        <v>77.077533212056892</v>
      </c>
      <c r="O76">
        <v>200</v>
      </c>
    </row>
    <row r="77" spans="1:15" x14ac:dyDescent="0.25">
      <c r="A77">
        <v>2008</v>
      </c>
      <c r="B77">
        <v>4</v>
      </c>
      <c r="C77">
        <v>79.7650398334914</v>
      </c>
      <c r="D77">
        <v>79.325281513846136</v>
      </c>
      <c r="E77">
        <v>80.261163100661776</v>
      </c>
      <c r="F77">
        <v>81.242767172474956</v>
      </c>
      <c r="G77">
        <v>80.915631912963178</v>
      </c>
      <c r="H77">
        <v>77.777866951964128</v>
      </c>
      <c r="I77">
        <v>77.804492565551371</v>
      </c>
      <c r="K77">
        <v>79.692819006905196</v>
      </c>
      <c r="L77">
        <v>80.179655987263445</v>
      </c>
      <c r="M77">
        <v>80.422851329154597</v>
      </c>
      <c r="N77">
        <v>76.818153866680191</v>
      </c>
      <c r="O77">
        <v>200</v>
      </c>
    </row>
    <row r="78" spans="1:15" x14ac:dyDescent="0.25">
      <c r="A78">
        <v>2009</v>
      </c>
      <c r="B78">
        <v>1</v>
      </c>
      <c r="C78">
        <v>80.9867523690246</v>
      </c>
      <c r="D78">
        <v>80.489899413528363</v>
      </c>
      <c r="E78">
        <v>81.550486085127702</v>
      </c>
      <c r="F78">
        <v>82.402305589099726</v>
      </c>
      <c r="G78">
        <v>82.039831386173034</v>
      </c>
      <c r="H78">
        <v>79.176812136317267</v>
      </c>
      <c r="I78">
        <v>79.553557765272899</v>
      </c>
      <c r="K78">
        <v>80.837125068579937</v>
      </c>
      <c r="L78">
        <v>81.185481533909766</v>
      </c>
      <c r="M78">
        <v>81.661571476273537</v>
      </c>
      <c r="N78">
        <v>78.160997765567757</v>
      </c>
      <c r="O78">
        <v>218</v>
      </c>
    </row>
    <row r="79" spans="1:15" x14ac:dyDescent="0.25">
      <c r="A79">
        <v>2009</v>
      </c>
      <c r="B79">
        <v>2</v>
      </c>
      <c r="C79">
        <v>82.209268653989341</v>
      </c>
      <c r="D79">
        <v>81.625912022046961</v>
      </c>
      <c r="E79">
        <v>82.875658509448996</v>
      </c>
      <c r="F79">
        <v>83.609348505989772</v>
      </c>
      <c r="G79">
        <v>83.446328750181465</v>
      </c>
      <c r="H79">
        <v>80.987435639106891</v>
      </c>
      <c r="I79">
        <v>80.967683706065088</v>
      </c>
      <c r="K79">
        <v>81.784361818866259</v>
      </c>
      <c r="L79">
        <v>82.70300776285643</v>
      </c>
      <c r="M79">
        <v>82.621948028448671</v>
      </c>
      <c r="N79">
        <v>79.544457360557871</v>
      </c>
      <c r="O79">
        <v>218</v>
      </c>
    </row>
    <row r="80" spans="1:15" x14ac:dyDescent="0.25">
      <c r="A80">
        <v>2009</v>
      </c>
      <c r="B80">
        <v>3</v>
      </c>
      <c r="C80">
        <v>82.112781298306359</v>
      </c>
      <c r="D80">
        <v>81.7502463028016</v>
      </c>
      <c r="E80">
        <v>82.516057659758928</v>
      </c>
      <c r="F80">
        <v>83.017063385143089</v>
      </c>
      <c r="G80">
        <v>83.601753517604195</v>
      </c>
      <c r="H80">
        <v>81.273198291930996</v>
      </c>
      <c r="I80">
        <v>80.529009228213638</v>
      </c>
      <c r="K80">
        <v>82.111951523521995</v>
      </c>
      <c r="L80">
        <v>82.930749902260388</v>
      </c>
      <c r="M80">
        <v>82.682799067695498</v>
      </c>
      <c r="N80">
        <v>79.013969263133404</v>
      </c>
      <c r="O80">
        <v>218</v>
      </c>
    </row>
    <row r="81" spans="1:15" x14ac:dyDescent="0.25">
      <c r="A81">
        <v>2009</v>
      </c>
      <c r="B81">
        <v>4</v>
      </c>
      <c r="C81">
        <v>82.911621630485271</v>
      </c>
      <c r="D81">
        <v>82.654833328710438</v>
      </c>
      <c r="E81">
        <v>83.188602801508125</v>
      </c>
      <c r="F81">
        <v>83.47522398320443</v>
      </c>
      <c r="G81">
        <v>84.135493463875108</v>
      </c>
      <c r="H81">
        <v>81.737614163207709</v>
      </c>
      <c r="I81">
        <v>81.940443762898568</v>
      </c>
      <c r="K81">
        <v>82.961691180653972</v>
      </c>
      <c r="L81">
        <v>83.957663270977363</v>
      </c>
      <c r="M81">
        <v>83.281469452520497</v>
      </c>
      <c r="N81">
        <v>80.099265802456657</v>
      </c>
      <c r="O81">
        <v>218</v>
      </c>
    </row>
    <row r="82" spans="1:15" x14ac:dyDescent="0.25">
      <c r="A82">
        <v>2010</v>
      </c>
      <c r="B82">
        <v>1</v>
      </c>
      <c r="C82">
        <v>84.250655889993496</v>
      </c>
      <c r="D82">
        <v>83.839970548621537</v>
      </c>
      <c r="E82">
        <v>84.710563287614832</v>
      </c>
      <c r="F82">
        <v>84.803771945940511</v>
      </c>
      <c r="G82">
        <v>86.097017755974775</v>
      </c>
      <c r="H82">
        <v>83.033217799891759</v>
      </c>
      <c r="I82">
        <v>83.597108271715229</v>
      </c>
      <c r="K82">
        <v>84.273693752182169</v>
      </c>
      <c r="L82">
        <v>84.908597404888368</v>
      </c>
      <c r="M82">
        <v>83.61515316747473</v>
      </c>
      <c r="N82">
        <v>81.553430132997732</v>
      </c>
      <c r="O82">
        <v>240</v>
      </c>
    </row>
    <row r="83" spans="1:15" x14ac:dyDescent="0.25">
      <c r="A83">
        <v>2010</v>
      </c>
      <c r="B83">
        <v>2</v>
      </c>
      <c r="C83">
        <v>84.881351432392563</v>
      </c>
      <c r="D83">
        <v>84.350774524886106</v>
      </c>
      <c r="E83">
        <v>85.483909621032566</v>
      </c>
      <c r="F83">
        <v>85.624689737148501</v>
      </c>
      <c r="G83">
        <v>86.62545698996324</v>
      </c>
      <c r="H83">
        <v>84.333137938055003</v>
      </c>
      <c r="I83">
        <v>84.337952998722173</v>
      </c>
      <c r="K83">
        <v>84.797573149124844</v>
      </c>
      <c r="L83">
        <v>85.23248458695447</v>
      </c>
      <c r="M83">
        <v>84.472104910722123</v>
      </c>
      <c r="N83">
        <v>82.046253783137431</v>
      </c>
      <c r="O83">
        <v>240</v>
      </c>
    </row>
    <row r="84" spans="1:15" x14ac:dyDescent="0.25">
      <c r="A84">
        <v>2010</v>
      </c>
      <c r="B84">
        <v>3</v>
      </c>
      <c r="C84">
        <v>85.030574801169934</v>
      </c>
      <c r="D84">
        <v>84.653079621616016</v>
      </c>
      <c r="E84">
        <v>85.450657322675838</v>
      </c>
      <c r="F84">
        <v>85.709461231954663</v>
      </c>
      <c r="G84">
        <v>86.628875744629966</v>
      </c>
      <c r="H84">
        <v>84.301031353716837</v>
      </c>
      <c r="I84">
        <v>83.967537767525002</v>
      </c>
      <c r="K84">
        <v>84.92280104661657</v>
      </c>
      <c r="L84">
        <v>85.770639772975073</v>
      </c>
      <c r="M84">
        <v>85.168253914909556</v>
      </c>
      <c r="N84">
        <v>82.437047605660169</v>
      </c>
      <c r="O84">
        <v>240</v>
      </c>
    </row>
    <row r="85" spans="1:15" x14ac:dyDescent="0.25">
      <c r="A85">
        <v>2010</v>
      </c>
      <c r="B85">
        <v>4</v>
      </c>
      <c r="C85">
        <v>85.724034221082306</v>
      </c>
      <c r="D85">
        <v>85.324786097939679</v>
      </c>
      <c r="E85">
        <v>86.169796373160992</v>
      </c>
      <c r="F85">
        <v>86.636506140383275</v>
      </c>
      <c r="G85">
        <v>86.987694356263475</v>
      </c>
      <c r="H85">
        <v>85.022601165777132</v>
      </c>
      <c r="I85">
        <v>84.500708056886609</v>
      </c>
      <c r="K85">
        <v>85.348812687863571</v>
      </c>
      <c r="L85">
        <v>86.213416650087467</v>
      </c>
      <c r="M85">
        <v>86.285190313893395</v>
      </c>
      <c r="N85">
        <v>83.827119651609962</v>
      </c>
      <c r="O85">
        <v>240</v>
      </c>
    </row>
    <row r="86" spans="1:15" x14ac:dyDescent="0.25">
      <c r="A86">
        <v>2011</v>
      </c>
      <c r="B86">
        <v>1</v>
      </c>
      <c r="C86">
        <v>87.098135369454837</v>
      </c>
      <c r="D86">
        <v>86.651653088099508</v>
      </c>
      <c r="E86">
        <v>87.599704151517287</v>
      </c>
      <c r="F86">
        <v>88.112891738175463</v>
      </c>
      <c r="G86">
        <v>88.074356502441631</v>
      </c>
      <c r="H86">
        <v>86.549060307473667</v>
      </c>
      <c r="I86">
        <v>86.114607005178343</v>
      </c>
      <c r="K86">
        <v>86.376012472998696</v>
      </c>
      <c r="L86">
        <v>87.607095155397133</v>
      </c>
      <c r="M86">
        <v>87.443755439644761</v>
      </c>
      <c r="N86">
        <v>86.025775813893503</v>
      </c>
      <c r="O86">
        <v>264</v>
      </c>
    </row>
    <row r="87" spans="1:15" x14ac:dyDescent="0.25">
      <c r="A87">
        <v>2011</v>
      </c>
      <c r="B87">
        <v>2</v>
      </c>
      <c r="C87">
        <v>88.386419642800305</v>
      </c>
      <c r="D87">
        <v>87.646596387946602</v>
      </c>
      <c r="E87">
        <v>89.237104047332238</v>
      </c>
      <c r="F87">
        <v>89.775260202015389</v>
      </c>
      <c r="G87">
        <v>89.811882313368301</v>
      </c>
      <c r="H87">
        <v>87.989728504112534</v>
      </c>
      <c r="I87">
        <v>87.64643070675497</v>
      </c>
      <c r="K87">
        <v>87.340125478632288</v>
      </c>
      <c r="L87">
        <v>88.676974195405094</v>
      </c>
      <c r="M87">
        <v>88.241880024108696</v>
      </c>
      <c r="N87">
        <v>87.127435485126867</v>
      </c>
      <c r="O87">
        <v>264</v>
      </c>
    </row>
    <row r="88" spans="1:15" x14ac:dyDescent="0.25">
      <c r="A88">
        <v>2011</v>
      </c>
      <c r="B88">
        <v>3</v>
      </c>
      <c r="C88">
        <v>89.189296243532695</v>
      </c>
      <c r="D88">
        <v>88.729341060404806</v>
      </c>
      <c r="E88">
        <v>89.70618822762863</v>
      </c>
      <c r="F88">
        <v>90.258650096515794</v>
      </c>
      <c r="G88">
        <v>90.462271799161172</v>
      </c>
      <c r="H88">
        <v>88.277678042121963</v>
      </c>
      <c r="I88">
        <v>87.955006035276028</v>
      </c>
      <c r="K88">
        <v>88.475464291833461</v>
      </c>
      <c r="L88">
        <v>89.852639457178455</v>
      </c>
      <c r="M88">
        <v>88.79511707897484</v>
      </c>
      <c r="N88">
        <v>88.217491038039171</v>
      </c>
      <c r="O88">
        <v>264</v>
      </c>
    </row>
    <row r="89" spans="1:15" x14ac:dyDescent="0.25">
      <c r="A89">
        <v>2011</v>
      </c>
      <c r="B89">
        <v>4</v>
      </c>
      <c r="C89">
        <v>90.421102737221034</v>
      </c>
      <c r="D89">
        <v>90.085384537069231</v>
      </c>
      <c r="E89">
        <v>90.789513567171511</v>
      </c>
      <c r="F89">
        <v>90.914381117310725</v>
      </c>
      <c r="G89">
        <v>91.616696116415469</v>
      </c>
      <c r="H89">
        <v>89.230338555072535</v>
      </c>
      <c r="I89">
        <v>90.098943640139268</v>
      </c>
      <c r="K89">
        <v>89.87300835272633</v>
      </c>
      <c r="L89">
        <v>91.408366480110999</v>
      </c>
      <c r="M89">
        <v>90.074686897011134</v>
      </c>
      <c r="N89">
        <v>89.292482553502211</v>
      </c>
      <c r="O89">
        <v>264</v>
      </c>
    </row>
    <row r="90" spans="1:15" x14ac:dyDescent="0.25">
      <c r="A90">
        <v>2012</v>
      </c>
      <c r="B90">
        <v>1</v>
      </c>
      <c r="C90">
        <v>92.016007497953737</v>
      </c>
      <c r="D90">
        <v>91.781945239893432</v>
      </c>
      <c r="E90">
        <v>92.262719282373197</v>
      </c>
      <c r="F90">
        <v>92.001949113452881</v>
      </c>
      <c r="G90">
        <v>93.497157843119268</v>
      </c>
      <c r="H90">
        <v>91.504340415324137</v>
      </c>
      <c r="I90">
        <v>91.944170474103245</v>
      </c>
      <c r="K90">
        <v>91.585770304838832</v>
      </c>
      <c r="L90">
        <v>92.531249624066518</v>
      </c>
      <c r="M90">
        <v>91.706868660633106</v>
      </c>
      <c r="N90">
        <v>91.53628930523314</v>
      </c>
      <c r="O90">
        <v>292</v>
      </c>
    </row>
    <row r="91" spans="1:15" x14ac:dyDescent="0.25">
      <c r="A91">
        <v>2012</v>
      </c>
      <c r="B91">
        <v>2</v>
      </c>
      <c r="C91">
        <v>92.885479044876774</v>
      </c>
      <c r="D91">
        <v>92.188998465679774</v>
      </c>
      <c r="E91">
        <v>93.682938054471435</v>
      </c>
      <c r="F91">
        <v>93.558061992846135</v>
      </c>
      <c r="G91">
        <v>94.785208488831827</v>
      </c>
      <c r="H91">
        <v>92.425382142549211</v>
      </c>
      <c r="I91">
        <v>93.282395533900356</v>
      </c>
      <c r="K91">
        <v>92.091039836214762</v>
      </c>
      <c r="L91">
        <v>92.748159059460662</v>
      </c>
      <c r="M91">
        <v>91.747234483613497</v>
      </c>
      <c r="N91">
        <v>92.022296817275972</v>
      </c>
      <c r="O91">
        <v>292</v>
      </c>
    </row>
    <row r="92" spans="1:15" x14ac:dyDescent="0.25">
      <c r="A92">
        <v>2012</v>
      </c>
      <c r="B92">
        <v>3</v>
      </c>
      <c r="C92">
        <v>93.705184696409432</v>
      </c>
      <c r="D92">
        <v>93.236631589165725</v>
      </c>
      <c r="E92">
        <v>94.230741625712923</v>
      </c>
      <c r="F92">
        <v>94.295129189915414</v>
      </c>
      <c r="G92">
        <v>94.796565228477562</v>
      </c>
      <c r="H92">
        <v>93.064841008750889</v>
      </c>
      <c r="I92">
        <v>93.836315712180692</v>
      </c>
      <c r="K92">
        <v>93.492882631097473</v>
      </c>
      <c r="L92">
        <v>93.356669498390701</v>
      </c>
      <c r="M92">
        <v>92.544540095729801</v>
      </c>
      <c r="N92">
        <v>92.604152038118968</v>
      </c>
      <c r="O92">
        <v>292</v>
      </c>
    </row>
    <row r="93" spans="1:15" x14ac:dyDescent="0.25">
      <c r="A93">
        <v>2012</v>
      </c>
      <c r="B93">
        <v>4</v>
      </c>
      <c r="C93">
        <v>94.604239466372022</v>
      </c>
      <c r="D93">
        <v>94.23639419251883</v>
      </c>
      <c r="E93">
        <v>95.009470796962773</v>
      </c>
      <c r="F93">
        <v>94.618721989188643</v>
      </c>
      <c r="G93">
        <v>95.771226622250069</v>
      </c>
      <c r="H93">
        <v>93.8562809198216</v>
      </c>
      <c r="I93">
        <v>95.586387834497813</v>
      </c>
      <c r="K93">
        <v>94.288101725097974</v>
      </c>
      <c r="L93">
        <v>94.137487691206204</v>
      </c>
      <c r="M93">
        <v>93.666852892829169</v>
      </c>
      <c r="N93">
        <v>94.346965722764821</v>
      </c>
      <c r="O93">
        <v>292</v>
      </c>
    </row>
    <row r="94" spans="1:15" x14ac:dyDescent="0.25">
      <c r="A94">
        <v>2013</v>
      </c>
      <c r="B94">
        <v>1</v>
      </c>
      <c r="C94">
        <v>95.262260456185061</v>
      </c>
      <c r="D94">
        <v>94.728367059664734</v>
      </c>
      <c r="E94">
        <v>95.865136552700278</v>
      </c>
      <c r="F94">
        <v>95.406176611843691</v>
      </c>
      <c r="G94">
        <v>97.092613305347115</v>
      </c>
      <c r="H94">
        <v>94.737535172164783</v>
      </c>
      <c r="I94">
        <v>96.161834353465451</v>
      </c>
      <c r="K94">
        <v>94.81445047072782</v>
      </c>
      <c r="L94">
        <v>94.654798343264574</v>
      </c>
      <c r="M94">
        <v>94.199919122816638</v>
      </c>
      <c r="N94">
        <v>94.695355070072864</v>
      </c>
      <c r="O94">
        <v>318</v>
      </c>
    </row>
    <row r="95" spans="1:15" x14ac:dyDescent="0.25">
      <c r="A95">
        <v>2013</v>
      </c>
      <c r="B95">
        <v>2</v>
      </c>
      <c r="C95">
        <v>95.584811485749569</v>
      </c>
      <c r="D95">
        <v>94.998658239174588</v>
      </c>
      <c r="E95">
        <v>96.249851333945045</v>
      </c>
      <c r="F95">
        <v>95.930704744616833</v>
      </c>
      <c r="G95">
        <v>97.596964190361703</v>
      </c>
      <c r="H95">
        <v>95.715493763049892</v>
      </c>
      <c r="I95">
        <v>95.909690796788553</v>
      </c>
      <c r="K95">
        <v>95.003004510794327</v>
      </c>
      <c r="L95">
        <v>95.194578111131207</v>
      </c>
      <c r="M95">
        <v>94.916736488625602</v>
      </c>
      <c r="N95">
        <v>94.722653601532627</v>
      </c>
      <c r="O95">
        <v>318</v>
      </c>
    </row>
    <row r="96" spans="1:15" x14ac:dyDescent="0.25">
      <c r="A96">
        <v>2013</v>
      </c>
      <c r="B96">
        <v>3</v>
      </c>
      <c r="C96">
        <v>95.696521940927028</v>
      </c>
      <c r="D96">
        <v>95.440834648846064</v>
      </c>
      <c r="E96">
        <v>95.967715188096761</v>
      </c>
      <c r="F96">
        <v>95.669020911937082</v>
      </c>
      <c r="G96">
        <v>96.637903034088495</v>
      </c>
      <c r="H96">
        <v>96.089766799530182</v>
      </c>
      <c r="I96">
        <v>96.043426104195092</v>
      </c>
      <c r="K96">
        <v>95.546217898997725</v>
      </c>
      <c r="L96">
        <v>95.423334849770029</v>
      </c>
      <c r="M96">
        <v>95.621147694893693</v>
      </c>
      <c r="N96">
        <v>94.960548376311934</v>
      </c>
      <c r="O96">
        <v>318</v>
      </c>
    </row>
    <row r="97" spans="1:15" x14ac:dyDescent="0.25">
      <c r="A97">
        <v>2013</v>
      </c>
      <c r="B97">
        <v>4</v>
      </c>
      <c r="C97">
        <v>96.825280987843556</v>
      </c>
      <c r="D97">
        <v>96.652512429524165</v>
      </c>
      <c r="E97">
        <v>96.997267015974032</v>
      </c>
      <c r="F97">
        <v>96.900277407191595</v>
      </c>
      <c r="G97">
        <v>96.800229531285069</v>
      </c>
      <c r="H97">
        <v>96.921321334127299</v>
      </c>
      <c r="I97">
        <v>97.445343720728332</v>
      </c>
      <c r="K97">
        <v>96.695549618558815</v>
      </c>
      <c r="L97">
        <v>96.697556550880066</v>
      </c>
      <c r="M97">
        <v>97.205251067537617</v>
      </c>
      <c r="N97">
        <v>96.111525006796469</v>
      </c>
      <c r="O97">
        <v>318</v>
      </c>
    </row>
    <row r="98" spans="1:15" x14ac:dyDescent="0.25">
      <c r="A98">
        <v>2014</v>
      </c>
      <c r="B98">
        <v>1</v>
      </c>
      <c r="C98">
        <v>98.083033873965448</v>
      </c>
      <c r="D98">
        <v>97.652322029324935</v>
      </c>
      <c r="E98">
        <v>98.561963730615801</v>
      </c>
      <c r="F98">
        <v>98.156463209173808</v>
      </c>
      <c r="G98">
        <v>98.25126925141366</v>
      </c>
      <c r="H98">
        <v>98.389919884022234</v>
      </c>
      <c r="I98">
        <v>99.934149295161333</v>
      </c>
      <c r="K98">
        <v>97.885438624683403</v>
      </c>
      <c r="L98">
        <v>97.561526120954525</v>
      </c>
      <c r="M98">
        <v>97.862086421401656</v>
      </c>
      <c r="N98">
        <v>96.861429344837063</v>
      </c>
      <c r="O98">
        <v>340</v>
      </c>
    </row>
    <row r="99" spans="1:15" x14ac:dyDescent="0.25">
      <c r="A99">
        <v>2014</v>
      </c>
      <c r="B99">
        <v>2</v>
      </c>
      <c r="C99">
        <v>98.871692642229775</v>
      </c>
      <c r="D99">
        <v>98.361718321515241</v>
      </c>
      <c r="E99">
        <v>99.444801381923256</v>
      </c>
      <c r="F99">
        <v>99.171528385964351</v>
      </c>
      <c r="G99">
        <v>99.368184534393222</v>
      </c>
      <c r="H99">
        <v>98.764438159848666</v>
      </c>
      <c r="I99">
        <v>100.39515571101633</v>
      </c>
      <c r="K99">
        <v>98.521308116819526</v>
      </c>
      <c r="L99">
        <v>98.214343228469545</v>
      </c>
      <c r="M99">
        <v>98.64412503549913</v>
      </c>
      <c r="N99">
        <v>97.802182048769524</v>
      </c>
      <c r="O99">
        <v>340</v>
      </c>
    </row>
    <row r="100" spans="1:15" x14ac:dyDescent="0.25">
      <c r="A100">
        <v>2014</v>
      </c>
      <c r="B100">
        <v>3</v>
      </c>
      <c r="C100">
        <v>99.66770153650539</v>
      </c>
      <c r="D100">
        <v>99.362295472831832</v>
      </c>
      <c r="E100">
        <v>99.996753047305674</v>
      </c>
      <c r="F100">
        <v>100.17259712504472</v>
      </c>
      <c r="G100">
        <v>99.17914968033817</v>
      </c>
      <c r="H100">
        <v>99.092440655424639</v>
      </c>
      <c r="I100">
        <v>100.57317158656532</v>
      </c>
      <c r="K100">
        <v>99.716691349255697</v>
      </c>
      <c r="L100">
        <v>98.607762316091964</v>
      </c>
      <c r="M100">
        <v>99.405769258541682</v>
      </c>
      <c r="N100">
        <v>98.954308439156193</v>
      </c>
      <c r="O100">
        <v>340</v>
      </c>
    </row>
    <row r="101" spans="1:15" x14ac:dyDescent="0.25">
      <c r="A101">
        <v>2014</v>
      </c>
      <c r="B101">
        <v>4</v>
      </c>
      <c r="C101">
        <v>100.50639978567034</v>
      </c>
      <c r="D101">
        <v>100.42489285008799</v>
      </c>
      <c r="E101">
        <v>100.56834303732801</v>
      </c>
      <c r="F101">
        <v>100.65389493894368</v>
      </c>
      <c r="G101">
        <v>100.20791601530529</v>
      </c>
      <c r="H101">
        <v>100.16912166791185</v>
      </c>
      <c r="I101">
        <v>100.79617593602167</v>
      </c>
      <c r="K101">
        <v>100.539782511322</v>
      </c>
      <c r="L101">
        <v>99.89566957882937</v>
      </c>
      <c r="M101">
        <v>100.23226544324787</v>
      </c>
      <c r="N101">
        <v>100.59245675730033</v>
      </c>
      <c r="O101">
        <v>340</v>
      </c>
    </row>
    <row r="102" spans="1:15" x14ac:dyDescent="0.25">
      <c r="A102">
        <v>2015</v>
      </c>
      <c r="B102">
        <v>1</v>
      </c>
      <c r="C102">
        <v>101.79203549823301</v>
      </c>
      <c r="D102">
        <v>101.54077065493901</v>
      </c>
      <c r="E102">
        <v>102.01926782144034</v>
      </c>
      <c r="F102">
        <v>101.76713123442634</v>
      </c>
      <c r="G102">
        <v>102.14413675633034</v>
      </c>
      <c r="H102">
        <v>101.75786674119867</v>
      </c>
      <c r="I102">
        <v>102.61380147649733</v>
      </c>
      <c r="J102">
        <v>102.69135554710967</v>
      </c>
      <c r="K102">
        <v>101.48237036166233</v>
      </c>
      <c r="L102">
        <v>101.63985063616833</v>
      </c>
      <c r="M102">
        <v>101.91165617229866</v>
      </c>
      <c r="N102">
        <v>101.42564337773899</v>
      </c>
      <c r="O102">
        <v>354</v>
      </c>
    </row>
    <row r="103" spans="1:15" x14ac:dyDescent="0.25">
      <c r="A103">
        <v>2015</v>
      </c>
      <c r="B103">
        <v>2</v>
      </c>
      <c r="C103">
        <v>103.39835374499233</v>
      </c>
      <c r="D103">
        <v>102.95508276116668</v>
      </c>
      <c r="E103">
        <v>103.79922755664366</v>
      </c>
      <c r="F103">
        <v>103.71904074282867</v>
      </c>
      <c r="G103">
        <v>103.866924438439</v>
      </c>
      <c r="H103">
        <v>103.35583662957868</v>
      </c>
      <c r="I103">
        <v>103.89455587349835</v>
      </c>
      <c r="J103">
        <v>104.64465718839801</v>
      </c>
      <c r="K103">
        <v>102.93379747883067</v>
      </c>
      <c r="L103">
        <v>102.94529842562467</v>
      </c>
      <c r="M103">
        <v>103.07403394015768</v>
      </c>
      <c r="N103">
        <v>102.96887338812867</v>
      </c>
      <c r="O103">
        <v>354</v>
      </c>
    </row>
    <row r="104" spans="1:15" x14ac:dyDescent="0.25">
      <c r="A104">
        <v>2015</v>
      </c>
      <c r="B104">
        <v>3</v>
      </c>
      <c r="C104">
        <v>103.74791538950133</v>
      </c>
      <c r="D104">
        <v>103.34343705282765</v>
      </c>
      <c r="E104">
        <v>104.11370692215201</v>
      </c>
      <c r="F104">
        <v>104.04613595887866</v>
      </c>
      <c r="G104">
        <v>104.56098243187267</v>
      </c>
      <c r="H104">
        <v>103.87432946524866</v>
      </c>
      <c r="I104">
        <v>103.98426946612132</v>
      </c>
      <c r="J104">
        <v>104.865251040215</v>
      </c>
      <c r="K104">
        <v>103.25069697295</v>
      </c>
      <c r="L104">
        <v>103.22166897347834</v>
      </c>
      <c r="M104">
        <v>103.68414335842367</v>
      </c>
      <c r="N104">
        <v>103.61167900423867</v>
      </c>
      <c r="O104">
        <v>354</v>
      </c>
    </row>
    <row r="105" spans="1:15" x14ac:dyDescent="0.25">
      <c r="A105">
        <v>2015</v>
      </c>
      <c r="B105">
        <v>4</v>
      </c>
      <c r="C105">
        <v>103.943218893479</v>
      </c>
      <c r="D105">
        <v>103.79466208371933</v>
      </c>
      <c r="E105">
        <v>104.07756681325732</v>
      </c>
      <c r="F105">
        <v>104.00941605475434</v>
      </c>
      <c r="G105">
        <v>104.78334832219934</v>
      </c>
      <c r="H105">
        <v>103.83575736651601</v>
      </c>
      <c r="I105">
        <v>103.86595457749333</v>
      </c>
      <c r="J105">
        <v>104.81242522917033</v>
      </c>
      <c r="K105">
        <v>103.68531472076334</v>
      </c>
      <c r="L105">
        <v>103.65401960763099</v>
      </c>
      <c r="M105">
        <v>104.27112213450899</v>
      </c>
      <c r="N105">
        <v>104.05217987824034</v>
      </c>
      <c r="O105">
        <v>354</v>
      </c>
    </row>
    <row r="106" spans="1:15" x14ac:dyDescent="0.25">
      <c r="A106">
        <v>2016</v>
      </c>
      <c r="B106">
        <v>1</v>
      </c>
      <c r="C106">
        <v>104.510220432656</v>
      </c>
      <c r="D106">
        <v>104.36674140474001</v>
      </c>
      <c r="E106">
        <v>104.63997624097932</v>
      </c>
      <c r="F106">
        <v>104.42485306073166</v>
      </c>
      <c r="G106">
        <v>106.22740784498332</v>
      </c>
      <c r="H106">
        <v>104.61886410886268</v>
      </c>
      <c r="I106">
        <v>104.424499693909</v>
      </c>
      <c r="J106">
        <v>105.5157770341</v>
      </c>
      <c r="K106">
        <v>104.12564455621566</v>
      </c>
      <c r="L106">
        <v>104.34350502845267</v>
      </c>
      <c r="M106">
        <v>104.96944154871399</v>
      </c>
      <c r="N106">
        <v>104.99741242972233</v>
      </c>
      <c r="O106">
        <v>366</v>
      </c>
    </row>
    <row r="107" spans="1:15" x14ac:dyDescent="0.25">
      <c r="A107">
        <v>2016</v>
      </c>
      <c r="B107">
        <v>2</v>
      </c>
      <c r="C107">
        <v>105.12241497207934</v>
      </c>
      <c r="D107">
        <v>104.71975847338233</v>
      </c>
      <c r="E107">
        <v>105.48655891857935</v>
      </c>
      <c r="F107">
        <v>105.35992967022599</v>
      </c>
      <c r="G107">
        <v>107.058924766787</v>
      </c>
      <c r="H107">
        <v>106.231657568107</v>
      </c>
      <c r="I107">
        <v>105.011212028229</v>
      </c>
      <c r="J107">
        <v>105.47058218298501</v>
      </c>
      <c r="K107">
        <v>104.67001459335866</v>
      </c>
      <c r="L107">
        <v>104.16499186757399</v>
      </c>
      <c r="M107">
        <v>105.33619490105133</v>
      </c>
      <c r="N107">
        <v>105.00380532255265</v>
      </c>
      <c r="O107">
        <v>366</v>
      </c>
    </row>
    <row r="108" spans="1:15" x14ac:dyDescent="0.25">
      <c r="A108">
        <v>2016</v>
      </c>
      <c r="B108">
        <v>3</v>
      </c>
      <c r="C108">
        <v>105.23393006350399</v>
      </c>
      <c r="D108">
        <v>104.87400679554734</v>
      </c>
      <c r="E108">
        <v>105.55942804914467</v>
      </c>
      <c r="F108">
        <v>105.53562371419332</v>
      </c>
      <c r="G108">
        <v>106.97666034587833</v>
      </c>
      <c r="H108">
        <v>106.47268912426767</v>
      </c>
      <c r="I108">
        <v>104.71704960756101</v>
      </c>
      <c r="J108">
        <v>105.62868243947366</v>
      </c>
      <c r="K108">
        <v>104.89203050103701</v>
      </c>
      <c r="L108">
        <v>104.16577484338801</v>
      </c>
      <c r="M108">
        <v>105.607195644</v>
      </c>
      <c r="N108">
        <v>104.91846808731502</v>
      </c>
      <c r="O108">
        <v>366</v>
      </c>
    </row>
    <row r="109" spans="1:15" x14ac:dyDescent="0.25">
      <c r="A109">
        <v>2016</v>
      </c>
      <c r="B109">
        <v>4</v>
      </c>
      <c r="C109">
        <v>105.15064340627434</v>
      </c>
      <c r="D109">
        <v>104.858165128118</v>
      </c>
      <c r="E109">
        <v>105.41514725712</v>
      </c>
      <c r="F109">
        <v>105.31215741461934</v>
      </c>
      <c r="G109">
        <v>107.36798429469866</v>
      </c>
      <c r="H109">
        <v>106.44149118018701</v>
      </c>
      <c r="I109">
        <v>104.46353555616933</v>
      </c>
      <c r="J109">
        <v>105.795004805948</v>
      </c>
      <c r="K109">
        <v>104.840612563536</v>
      </c>
      <c r="L109">
        <v>103.88007450609068</v>
      </c>
      <c r="M109">
        <v>105.98904156165834</v>
      </c>
      <c r="N109">
        <v>105.01755849153066</v>
      </c>
      <c r="O109">
        <v>366</v>
      </c>
    </row>
    <row r="110" spans="1:15" x14ac:dyDescent="0.25">
      <c r="A110">
        <v>2017</v>
      </c>
      <c r="B110">
        <v>1</v>
      </c>
      <c r="C110">
        <v>105.49088707421534</v>
      </c>
      <c r="D110">
        <v>105.03489608510201</v>
      </c>
      <c r="E110">
        <v>105.90326427135801</v>
      </c>
      <c r="F110">
        <v>105.95503737979067</v>
      </c>
      <c r="G110">
        <v>107.34294311337334</v>
      </c>
      <c r="H110">
        <v>106.668426407881</v>
      </c>
      <c r="I110">
        <v>104.74874587965333</v>
      </c>
      <c r="J110">
        <v>106.32787675756767</v>
      </c>
      <c r="K110">
        <v>104.84454239813533</v>
      </c>
      <c r="L110">
        <v>103.86657907940766</v>
      </c>
      <c r="M110">
        <v>106.45997905124267</v>
      </c>
      <c r="N110">
        <v>105.91436928717833</v>
      </c>
      <c r="O110">
        <v>375</v>
      </c>
    </row>
    <row r="111" spans="1:15" x14ac:dyDescent="0.25">
      <c r="A111">
        <v>2017</v>
      </c>
      <c r="B111">
        <v>2</v>
      </c>
      <c r="C111">
        <v>105.944904403107</v>
      </c>
      <c r="D111">
        <v>105.251459467644</v>
      </c>
      <c r="E111">
        <v>106.57202398592</v>
      </c>
      <c r="F111">
        <v>106.74164171761799</v>
      </c>
      <c r="G111">
        <v>107.44288458259467</v>
      </c>
      <c r="H111">
        <v>106.64465262039566</v>
      </c>
      <c r="I111">
        <v>105.58512209786166</v>
      </c>
      <c r="J111">
        <v>106.90124634964833</v>
      </c>
      <c r="K111">
        <v>105.053903089001</v>
      </c>
      <c r="L111">
        <v>104.284673479175</v>
      </c>
      <c r="M111">
        <v>106.63931709845467</v>
      </c>
      <c r="N111">
        <v>105.999031335143</v>
      </c>
      <c r="O111">
        <v>375</v>
      </c>
    </row>
    <row r="112" spans="1:15" x14ac:dyDescent="0.25">
      <c r="A112">
        <v>2017</v>
      </c>
      <c r="B112">
        <v>3</v>
      </c>
      <c r="C112">
        <v>105.358947026948</v>
      </c>
      <c r="D112">
        <v>104.87679058335566</v>
      </c>
      <c r="E112">
        <v>105.79498705304532</v>
      </c>
      <c r="F112">
        <v>105.787281448222</v>
      </c>
      <c r="G112">
        <v>106.70809821280933</v>
      </c>
      <c r="H112">
        <v>106.28446394456967</v>
      </c>
      <c r="I112">
        <v>105.30197457285867</v>
      </c>
      <c r="J112">
        <v>105.75681418374667</v>
      </c>
      <c r="K112">
        <v>104.71349144501266</v>
      </c>
      <c r="L112">
        <v>103.88575301252233</v>
      </c>
      <c r="M112">
        <v>106.035671170371</v>
      </c>
      <c r="N112">
        <v>105.66827313188766</v>
      </c>
      <c r="O112">
        <v>375</v>
      </c>
    </row>
    <row r="113" spans="1:15" x14ac:dyDescent="0.25">
      <c r="A113">
        <v>2017</v>
      </c>
      <c r="B113">
        <v>4</v>
      </c>
      <c r="C113">
        <v>104.97443799506867</v>
      </c>
      <c r="D113">
        <v>104.74701037291834</v>
      </c>
      <c r="E113">
        <v>105.18011303605533</v>
      </c>
      <c r="F113">
        <v>105.10864272916233</v>
      </c>
      <c r="G113">
        <v>106.33357576487867</v>
      </c>
      <c r="H113">
        <v>105.94847720732498</v>
      </c>
      <c r="I113">
        <v>104.61713869796</v>
      </c>
      <c r="J113">
        <v>105.31044434096934</v>
      </c>
      <c r="K113">
        <v>104.67272867656133</v>
      </c>
      <c r="L113">
        <v>103.633964295591</v>
      </c>
      <c r="M113">
        <v>105.84488286044102</v>
      </c>
      <c r="N113">
        <v>105.30872711434466</v>
      </c>
      <c r="O113">
        <v>375</v>
      </c>
    </row>
    <row r="114" spans="1:15" x14ac:dyDescent="0.25">
      <c r="A114">
        <v>2018</v>
      </c>
      <c r="B114">
        <v>1</v>
      </c>
      <c r="C114">
        <v>105.33384085898633</v>
      </c>
      <c r="D114">
        <v>105.24198327588665</v>
      </c>
      <c r="E114">
        <v>105.416912616015</v>
      </c>
      <c r="F114">
        <v>105.21875897513867</v>
      </c>
      <c r="G114">
        <v>106.926514469599</v>
      </c>
      <c r="H114">
        <v>106.61824392343432</v>
      </c>
      <c r="I114">
        <v>104.77481406197234</v>
      </c>
      <c r="J114">
        <v>105.97414453700533</v>
      </c>
      <c r="K114">
        <v>105.29071829689765</v>
      </c>
      <c r="L114">
        <v>103.73290957783365</v>
      </c>
      <c r="M114">
        <v>106.39369652862133</v>
      </c>
      <c r="N114">
        <v>105.59875453118366</v>
      </c>
      <c r="O114">
        <v>386</v>
      </c>
    </row>
    <row r="115" spans="1:15" x14ac:dyDescent="0.25">
      <c r="A115">
        <v>2018</v>
      </c>
      <c r="B115">
        <v>2</v>
      </c>
      <c r="C115">
        <v>105.06162627465433</v>
      </c>
      <c r="D115">
        <v>104.93219661424899</v>
      </c>
      <c r="E115">
        <v>105.17867648367</v>
      </c>
      <c r="F115">
        <v>105.22442393064699</v>
      </c>
      <c r="G115">
        <v>106.60435410068668</v>
      </c>
      <c r="H115">
        <v>105.68336919050533</v>
      </c>
      <c r="I115">
        <v>104.17992483304199</v>
      </c>
      <c r="J115">
        <v>105.547207811791</v>
      </c>
      <c r="K115">
        <v>105.13012286079733</v>
      </c>
      <c r="L115">
        <v>103.46059228739334</v>
      </c>
      <c r="M115">
        <v>105.86130287818533</v>
      </c>
      <c r="N115">
        <v>104.76417819072567</v>
      </c>
      <c r="O115">
        <v>386</v>
      </c>
    </row>
    <row r="116" spans="1:15" x14ac:dyDescent="0.25">
      <c r="A116">
        <v>2018</v>
      </c>
      <c r="B116">
        <v>3</v>
      </c>
      <c r="C116">
        <v>105.12664933990966</v>
      </c>
      <c r="D116">
        <v>105.04369516966067</v>
      </c>
      <c r="E116">
        <v>105.20166926143334</v>
      </c>
      <c r="F116">
        <v>105.20683049958866</v>
      </c>
      <c r="G116">
        <v>106.34243430800666</v>
      </c>
      <c r="H116">
        <v>105.65585295688699</v>
      </c>
      <c r="I116">
        <v>104.33046217332435</v>
      </c>
      <c r="J116">
        <v>105.88968755548399</v>
      </c>
      <c r="K116">
        <v>105.29983255838965</v>
      </c>
      <c r="L116">
        <v>103.30214774863167</v>
      </c>
      <c r="M116">
        <v>105.94783484783267</v>
      </c>
      <c r="N116">
        <v>104.89488794179199</v>
      </c>
      <c r="O116">
        <v>386</v>
      </c>
    </row>
    <row r="117" spans="1:15" x14ac:dyDescent="0.25">
      <c r="A117">
        <v>2018</v>
      </c>
      <c r="B117">
        <v>4</v>
      </c>
      <c r="C117">
        <v>105.30277322938032</v>
      </c>
      <c r="D117">
        <v>105.171857318048</v>
      </c>
      <c r="E117">
        <v>105.421167535113</v>
      </c>
      <c r="F117">
        <v>105.61434604951999</v>
      </c>
      <c r="G117">
        <v>106.47362801545633</v>
      </c>
      <c r="H117">
        <v>105.90041547540932</v>
      </c>
      <c r="I117">
        <v>104.07984684894832</v>
      </c>
      <c r="J117">
        <v>105.86736975064832</v>
      </c>
      <c r="K117">
        <v>105.37438322500235</v>
      </c>
      <c r="L117">
        <v>103.451956070763</v>
      </c>
      <c r="M117">
        <v>106.24568531770501</v>
      </c>
      <c r="N117">
        <v>105.11110529343632</v>
      </c>
      <c r="O117">
        <v>386</v>
      </c>
    </row>
    <row r="118" spans="1:15" x14ac:dyDescent="0.25">
      <c r="A118">
        <v>2019</v>
      </c>
      <c r="B118">
        <v>1</v>
      </c>
      <c r="C118">
        <v>105.537390943414</v>
      </c>
      <c r="D118">
        <v>105.38315483276467</v>
      </c>
      <c r="E118">
        <v>105.67687496070033</v>
      </c>
      <c r="F118">
        <v>105.811102978817</v>
      </c>
      <c r="G118">
        <v>106.45345791565535</v>
      </c>
      <c r="H118">
        <v>106.49284001602267</v>
      </c>
      <c r="I118">
        <v>104.52884087856533</v>
      </c>
      <c r="J118">
        <v>105.97106517728999</v>
      </c>
      <c r="K118">
        <v>105.54112657669066</v>
      </c>
      <c r="L118">
        <v>103.72941792601233</v>
      </c>
      <c r="M118">
        <v>106.73317819295301</v>
      </c>
      <c r="N118">
        <v>105.24858442651232</v>
      </c>
      <c r="O118">
        <v>394</v>
      </c>
    </row>
    <row r="119" spans="1:15" x14ac:dyDescent="0.25">
      <c r="A119">
        <v>2019</v>
      </c>
      <c r="B119">
        <v>2</v>
      </c>
      <c r="C119">
        <v>105.47289174647567</v>
      </c>
      <c r="D119">
        <v>105.212871443456</v>
      </c>
      <c r="E119">
        <v>105.70804210321398</v>
      </c>
      <c r="F119">
        <v>105.92042698887467</v>
      </c>
      <c r="G119">
        <v>106.41120298621667</v>
      </c>
      <c r="H119">
        <v>106.16800094945967</v>
      </c>
      <c r="I119">
        <v>104.58287849039932</v>
      </c>
      <c r="J119">
        <v>105.77130324490834</v>
      </c>
      <c r="K119">
        <v>105.43662448498134</v>
      </c>
      <c r="L119">
        <v>103.238076126629</v>
      </c>
      <c r="M119">
        <v>106.60864741837133</v>
      </c>
      <c r="N119">
        <v>105.05982607891633</v>
      </c>
      <c r="O119">
        <v>394</v>
      </c>
    </row>
    <row r="120" spans="1:15" x14ac:dyDescent="0.25">
      <c r="A120">
        <v>2019</v>
      </c>
      <c r="B120">
        <v>3</v>
      </c>
      <c r="C120">
        <v>105.465077377946</v>
      </c>
      <c r="D120">
        <v>105.41272308326101</v>
      </c>
      <c r="E120">
        <v>105.512424184826</v>
      </c>
      <c r="F120">
        <v>105.73969507037134</v>
      </c>
      <c r="G120">
        <v>106.45147316589566</v>
      </c>
      <c r="H120">
        <v>106.09782264760968</v>
      </c>
      <c r="I120">
        <v>104.24508922607068</v>
      </c>
      <c r="J120">
        <v>105.467534378591</v>
      </c>
      <c r="K120">
        <v>105.71821589531334</v>
      </c>
      <c r="L120">
        <v>103.25938487696901</v>
      </c>
      <c r="M120">
        <v>106.62600958278834</v>
      </c>
      <c r="N120">
        <v>105.20659064254168</v>
      </c>
      <c r="O120">
        <v>394</v>
      </c>
    </row>
    <row r="121" spans="1:15" x14ac:dyDescent="0.25">
      <c r="A121">
        <v>2019</v>
      </c>
      <c r="B121">
        <v>4</v>
      </c>
      <c r="C121">
        <v>105.46897650990134</v>
      </c>
      <c r="D121">
        <v>105.471530954958</v>
      </c>
      <c r="E121">
        <v>105.46666638773267</v>
      </c>
      <c r="F121">
        <v>105.72168348793934</v>
      </c>
      <c r="G121">
        <v>106.447341274213</v>
      </c>
      <c r="H121">
        <v>106.07261577769334</v>
      </c>
      <c r="I121">
        <v>104.07301710292366</v>
      </c>
      <c r="J121">
        <v>105.46707189591</v>
      </c>
      <c r="K121">
        <v>105.59396227278334</v>
      </c>
      <c r="L121">
        <v>103.78551593188934</v>
      </c>
      <c r="M121">
        <v>106.66431286117866</v>
      </c>
      <c r="N121">
        <v>105.64163259250866</v>
      </c>
      <c r="O121">
        <v>394</v>
      </c>
    </row>
    <row r="122" spans="1:15" x14ac:dyDescent="0.25">
      <c r="A122">
        <v>2020</v>
      </c>
      <c r="B122">
        <v>1</v>
      </c>
      <c r="C122">
        <v>105.41425192088833</v>
      </c>
      <c r="D122">
        <v>105.410866539466</v>
      </c>
      <c r="E122">
        <v>105.41731350354166</v>
      </c>
      <c r="F122">
        <v>105.66180155775432</v>
      </c>
      <c r="G122">
        <v>105.93340711013434</v>
      </c>
      <c r="H122">
        <v>106.25790657029501</v>
      </c>
      <c r="I122">
        <v>104.21821741541733</v>
      </c>
      <c r="J122">
        <v>105.157034707438</v>
      </c>
      <c r="K122">
        <v>105.49213263260367</v>
      </c>
      <c r="L122">
        <v>103.78520282195666</v>
      </c>
      <c r="M122">
        <v>106.64949731815966</v>
      </c>
      <c r="N122">
        <v>105.67028015161566</v>
      </c>
      <c r="O122">
        <v>400</v>
      </c>
    </row>
    <row r="123" spans="1:15" x14ac:dyDescent="0.25">
      <c r="A123">
        <v>2020</v>
      </c>
      <c r="B123">
        <v>2</v>
      </c>
      <c r="C123">
        <v>106.15205331475867</v>
      </c>
      <c r="D123">
        <v>105.66812835789334</v>
      </c>
      <c r="E123">
        <v>106.58969270260633</v>
      </c>
      <c r="F123">
        <v>106.90760418185967</v>
      </c>
      <c r="G123">
        <v>106.49803825142499</v>
      </c>
      <c r="H123">
        <v>108.40474353743434</v>
      </c>
      <c r="I123">
        <v>105.117919083611</v>
      </c>
      <c r="J123">
        <v>105.91599673252834</v>
      </c>
      <c r="K123">
        <v>105.43579678785233</v>
      </c>
      <c r="L123">
        <v>104.90874180825966</v>
      </c>
      <c r="M123">
        <v>107.62527168826334</v>
      </c>
      <c r="N123">
        <v>105.94522577337233</v>
      </c>
      <c r="O123">
        <v>400</v>
      </c>
    </row>
    <row r="124" spans="1:15" x14ac:dyDescent="0.25">
      <c r="A124">
        <v>2020</v>
      </c>
      <c r="B124">
        <v>3</v>
      </c>
      <c r="C124">
        <v>104.69222912253532</v>
      </c>
      <c r="D124">
        <v>104.52194353766633</v>
      </c>
      <c r="E124">
        <v>104.84622754329034</v>
      </c>
      <c r="F124">
        <v>105.23613897807199</v>
      </c>
      <c r="G124">
        <v>104.89753056544532</v>
      </c>
      <c r="H124">
        <v>106.60493463851232</v>
      </c>
      <c r="I124">
        <v>103.04813952950633</v>
      </c>
      <c r="J124">
        <v>104.377767408932</v>
      </c>
      <c r="K124">
        <v>104.49890614317</v>
      </c>
      <c r="L124">
        <v>103.26865385290199</v>
      </c>
      <c r="M124">
        <v>105.64695198331235</v>
      </c>
      <c r="N124">
        <v>104.971272013122</v>
      </c>
      <c r="O124">
        <v>400</v>
      </c>
    </row>
    <row r="125" spans="1:15" x14ac:dyDescent="0.25">
      <c r="A125">
        <v>2020</v>
      </c>
      <c r="B125">
        <v>4</v>
      </c>
      <c r="C125">
        <v>104.25594935091266</v>
      </c>
      <c r="D125">
        <v>104.00805369118534</v>
      </c>
      <c r="E125">
        <v>104.48013474005967</v>
      </c>
      <c r="F125">
        <v>104.90430050984901</v>
      </c>
      <c r="G125">
        <v>104.55231431360467</v>
      </c>
      <c r="H125">
        <v>106.30094715481967</v>
      </c>
      <c r="I125">
        <v>102.61318993846834</v>
      </c>
      <c r="J125">
        <v>103.822984069725</v>
      </c>
      <c r="K125">
        <v>103.94610472192834</v>
      </c>
      <c r="L125">
        <v>103.072843551682</v>
      </c>
      <c r="M125">
        <v>105.19712223942933</v>
      </c>
      <c r="N125">
        <v>104.27831724743733</v>
      </c>
      <c r="O125">
        <v>400</v>
      </c>
    </row>
    <row r="126" spans="1:15" x14ac:dyDescent="0.25">
      <c r="A126">
        <v>2021</v>
      </c>
      <c r="B126">
        <v>1</v>
      </c>
      <c r="C126">
        <v>104.47383734058734</v>
      </c>
      <c r="D126">
        <v>104.22141456717701</v>
      </c>
      <c r="E126">
        <v>104.70211684233033</v>
      </c>
      <c r="F126">
        <v>104.937663156537</v>
      </c>
      <c r="G126">
        <v>104.91409751995934</v>
      </c>
      <c r="H126">
        <v>106.51959736803535</v>
      </c>
      <c r="I126">
        <v>103.367660458727</v>
      </c>
      <c r="J126">
        <v>104.05284696568235</v>
      </c>
      <c r="K126">
        <v>104.08289787253899</v>
      </c>
      <c r="L126">
        <v>103.49417270473968</v>
      </c>
      <c r="M126">
        <v>105.800907938173</v>
      </c>
      <c r="N126">
        <v>104.33835029917066</v>
      </c>
      <c r="O126">
        <v>400</v>
      </c>
    </row>
    <row r="127" spans="1:15" x14ac:dyDescent="0.25">
      <c r="A127">
        <v>2021</v>
      </c>
      <c r="B127">
        <v>2</v>
      </c>
      <c r="C127">
        <v>104.987466992606</v>
      </c>
      <c r="D127">
        <v>104.59310750229533</v>
      </c>
      <c r="E127">
        <v>105.344107507799</v>
      </c>
      <c r="F127">
        <v>105.77573382917899</v>
      </c>
      <c r="G127">
        <v>105.55476031057066</v>
      </c>
      <c r="H127">
        <v>106.30475513377201</v>
      </c>
      <c r="I127">
        <v>103.68586224784599</v>
      </c>
      <c r="J127">
        <v>104.91623645587934</v>
      </c>
      <c r="K127">
        <v>104.39089755851633</v>
      </c>
      <c r="L127">
        <v>103.82226687665633</v>
      </c>
      <c r="M127">
        <v>106.45362347430166</v>
      </c>
      <c r="N127">
        <v>104.82102320037534</v>
      </c>
      <c r="O127">
        <v>400</v>
      </c>
    </row>
    <row r="128" spans="1:15" x14ac:dyDescent="0.25">
      <c r="A128">
        <v>2021</v>
      </c>
      <c r="B128">
        <v>3</v>
      </c>
      <c r="C128">
        <v>105.532277249572</v>
      </c>
      <c r="D128">
        <v>105.13672174038567</v>
      </c>
      <c r="E128">
        <v>105.88999938901566</v>
      </c>
      <c r="F128">
        <v>106.28530360191267</v>
      </c>
      <c r="G128">
        <v>106.03741354975934</v>
      </c>
      <c r="H128">
        <v>106.40151746541169</v>
      </c>
      <c r="I128">
        <v>104.35815722699833</v>
      </c>
      <c r="J128">
        <v>105.99357438772734</v>
      </c>
      <c r="K128">
        <v>104.957924859334</v>
      </c>
      <c r="L128">
        <v>104.15973371546234</v>
      </c>
      <c r="M128">
        <v>107.45159617352168</v>
      </c>
      <c r="N128">
        <v>105.11726391840868</v>
      </c>
      <c r="O128">
        <v>400</v>
      </c>
    </row>
    <row r="129" spans="1:15" x14ac:dyDescent="0.25">
      <c r="A129">
        <v>2021</v>
      </c>
      <c r="B129">
        <v>4</v>
      </c>
      <c r="C129">
        <v>106.08124350460834</v>
      </c>
      <c r="D129">
        <v>105.84187284980867</v>
      </c>
      <c r="E129">
        <v>106.297719272905</v>
      </c>
      <c r="F129">
        <v>106.65962875626001</v>
      </c>
      <c r="G129">
        <v>106.22107562591532</v>
      </c>
      <c r="H129">
        <v>106.88469207266166</v>
      </c>
      <c r="I129">
        <v>104.97224731009668</v>
      </c>
      <c r="J129">
        <v>106.251971648999</v>
      </c>
      <c r="K129">
        <v>105.76616728274166</v>
      </c>
      <c r="L129">
        <v>104.76857226227867</v>
      </c>
      <c r="M129">
        <v>108.39390976012832</v>
      </c>
      <c r="N129">
        <v>105.28306346585701</v>
      </c>
      <c r="O129">
        <v>400</v>
      </c>
    </row>
    <row r="130" spans="1:15" x14ac:dyDescent="0.25">
      <c r="A130">
        <v>2022</v>
      </c>
      <c r="B130">
        <v>1</v>
      </c>
      <c r="C130">
        <v>107.22839165346834</v>
      </c>
      <c r="D130">
        <v>106.89500613316</v>
      </c>
      <c r="E130">
        <v>107.529890125401</v>
      </c>
      <c r="F130">
        <v>107.98776603328599</v>
      </c>
      <c r="G130">
        <v>106.70008907178601</v>
      </c>
      <c r="H130">
        <v>107.75192692952101</v>
      </c>
      <c r="I130">
        <v>106.26944780291866</v>
      </c>
      <c r="J130">
        <v>107.64303555575201</v>
      </c>
      <c r="K130">
        <v>106.82985667541901</v>
      </c>
      <c r="L130">
        <v>105.82839364999967</v>
      </c>
      <c r="M130">
        <v>109.392112797422</v>
      </c>
      <c r="N130">
        <v>106.324571779233</v>
      </c>
      <c r="O130">
        <v>425</v>
      </c>
    </row>
    <row r="131" spans="1:15" x14ac:dyDescent="0.25">
      <c r="A131">
        <v>2022</v>
      </c>
      <c r="B131">
        <v>2</v>
      </c>
      <c r="C131">
        <v>108.66543863628134</v>
      </c>
      <c r="D131">
        <v>108.04193378697467</v>
      </c>
      <c r="E131">
        <v>109.22930763435467</v>
      </c>
      <c r="F131">
        <v>109.74038222763399</v>
      </c>
      <c r="G131">
        <v>107.66570646866667</v>
      </c>
      <c r="H131">
        <v>109.40666960874067</v>
      </c>
      <c r="I131">
        <v>108.19814322177467</v>
      </c>
      <c r="J131">
        <v>109.03487519352633</v>
      </c>
      <c r="K131">
        <v>107.84179168074634</v>
      </c>
      <c r="L131">
        <v>107.219372288096</v>
      </c>
      <c r="M131">
        <v>110.54640414445498</v>
      </c>
      <c r="N131">
        <v>107.82763092368833</v>
      </c>
      <c r="O131">
        <v>425</v>
      </c>
    </row>
    <row r="132" spans="1:15" x14ac:dyDescent="0.25">
      <c r="A132">
        <v>2022</v>
      </c>
      <c r="B132">
        <v>3</v>
      </c>
      <c r="C132">
        <v>109.662008713931</v>
      </c>
      <c r="D132">
        <v>109.27607495388533</v>
      </c>
      <c r="E132">
        <v>110.01102938769502</v>
      </c>
      <c r="F132">
        <v>110.49707568285733</v>
      </c>
      <c r="G132">
        <v>108.66914537105701</v>
      </c>
      <c r="H132">
        <v>110.17524355480667</v>
      </c>
      <c r="I132">
        <v>108.87894294739233</v>
      </c>
      <c r="J132">
        <v>110.09756924374601</v>
      </c>
      <c r="K132">
        <v>109.26395739836067</v>
      </c>
      <c r="L132">
        <v>108.129082953702</v>
      </c>
      <c r="M132">
        <v>111.51120211423601</v>
      </c>
      <c r="N132">
        <v>108.74504479050832</v>
      </c>
      <c r="O132">
        <v>425</v>
      </c>
    </row>
    <row r="133" spans="1:15" x14ac:dyDescent="0.25">
      <c r="A133">
        <v>2022</v>
      </c>
      <c r="B133">
        <v>4</v>
      </c>
      <c r="C133">
        <v>110.11415417838701</v>
      </c>
      <c r="D133">
        <v>109.97578405254633</v>
      </c>
      <c r="E133">
        <v>110.239289731555</v>
      </c>
      <c r="F133">
        <v>110.79425213905601</v>
      </c>
      <c r="G133">
        <v>109.26052116143801</v>
      </c>
      <c r="H133">
        <v>110.10675287160767</v>
      </c>
      <c r="I133">
        <v>108.81548967735466</v>
      </c>
      <c r="J133">
        <v>110.53037226935665</v>
      </c>
      <c r="K133">
        <v>110.06407546489599</v>
      </c>
      <c r="L133">
        <v>108.54937214495935</v>
      </c>
      <c r="M133">
        <v>112.18743026905234</v>
      </c>
      <c r="N133">
        <v>109.28633583679766</v>
      </c>
      <c r="O133">
        <v>425</v>
      </c>
    </row>
    <row r="134" spans="1:15" x14ac:dyDescent="0.25">
      <c r="A134">
        <v>2023</v>
      </c>
      <c r="B134">
        <v>1</v>
      </c>
      <c r="C134">
        <v>110.39759431716601</v>
      </c>
      <c r="D134">
        <v>110.12218157756399</v>
      </c>
      <c r="E134">
        <v>110.64666488287033</v>
      </c>
      <c r="F134">
        <v>111.21415764697501</v>
      </c>
      <c r="G134">
        <v>109.33269299427566</v>
      </c>
      <c r="H134">
        <v>110.22247959844468</v>
      </c>
      <c r="I134">
        <v>109.51036981181267</v>
      </c>
      <c r="J134">
        <v>110.715680095232</v>
      </c>
      <c r="K134">
        <v>110.28764420423467</v>
      </c>
      <c r="L134">
        <v>108.64877247694601</v>
      </c>
      <c r="M134">
        <v>112.384293434094</v>
      </c>
      <c r="N134">
        <v>109.10030793227001</v>
      </c>
      <c r="O134">
        <v>450</v>
      </c>
    </row>
    <row r="135" spans="1:15" x14ac:dyDescent="0.25">
      <c r="A135">
        <v>2023</v>
      </c>
      <c r="B135">
        <v>2</v>
      </c>
      <c r="C135">
        <v>110.872665883349</v>
      </c>
      <c r="D135">
        <v>110.35756969371867</v>
      </c>
      <c r="E135">
        <v>111.33849509491233</v>
      </c>
      <c r="F135">
        <v>111.88063770180899</v>
      </c>
      <c r="G135">
        <v>109.88764715978567</v>
      </c>
      <c r="H135">
        <v>110.19344143096266</v>
      </c>
      <c r="I135">
        <v>110.66030403231834</v>
      </c>
      <c r="J135">
        <v>111.34396684806534</v>
      </c>
      <c r="K135">
        <v>110.49790796334099</v>
      </c>
      <c r="L135">
        <v>108.71811091307933</v>
      </c>
      <c r="M135">
        <v>112.75270578128099</v>
      </c>
      <c r="N135">
        <v>109.50427065698632</v>
      </c>
      <c r="O135">
        <v>450</v>
      </c>
    </row>
    <row r="136" spans="1:15" x14ac:dyDescent="0.25">
      <c r="A136">
        <v>2023</v>
      </c>
      <c r="B136">
        <v>3</v>
      </c>
      <c r="C136">
        <v>112.16984864202168</v>
      </c>
      <c r="D136">
        <v>111.251818352697</v>
      </c>
      <c r="E136">
        <v>113.000072849609</v>
      </c>
      <c r="F136">
        <v>113.76886194640268</v>
      </c>
      <c r="G136">
        <v>111.10835679351133</v>
      </c>
      <c r="H136">
        <v>111.45706962532033</v>
      </c>
      <c r="I136">
        <v>111.96352436998335</v>
      </c>
      <c r="J136">
        <v>112.95968388577366</v>
      </c>
      <c r="K136">
        <v>111.30176206156966</v>
      </c>
      <c r="L136">
        <v>109.91245191940168</v>
      </c>
      <c r="M136">
        <v>113.62715561007099</v>
      </c>
      <c r="N136">
        <v>110.525684359899</v>
      </c>
      <c r="O136">
        <v>450</v>
      </c>
    </row>
    <row r="137" spans="1:15" x14ac:dyDescent="0.25">
      <c r="A137">
        <v>2023</v>
      </c>
      <c r="B137">
        <v>4</v>
      </c>
      <c r="C137">
        <v>111.88168898788133</v>
      </c>
      <c r="D137">
        <v>111.06138028558767</v>
      </c>
      <c r="E137">
        <v>112.62353830402867</v>
      </c>
      <c r="F137">
        <v>113.50510842847599</v>
      </c>
      <c r="G137">
        <v>111.27683434616999</v>
      </c>
      <c r="H137">
        <v>111.09485152502468</v>
      </c>
      <c r="I137">
        <v>110.760654609884</v>
      </c>
      <c r="J137">
        <v>113.32499933512899</v>
      </c>
      <c r="K137">
        <v>111.34633858169633</v>
      </c>
      <c r="L137">
        <v>109.05648495511866</v>
      </c>
      <c r="M137">
        <v>113.43918006195666</v>
      </c>
      <c r="N137">
        <v>109.93240326001801</v>
      </c>
      <c r="O137">
        <v>450</v>
      </c>
    </row>
    <row r="138" spans="1:15" x14ac:dyDescent="0.25">
      <c r="A138">
        <v>2024</v>
      </c>
      <c r="B138">
        <v>1</v>
      </c>
      <c r="C138">
        <v>112.03184111516367</v>
      </c>
      <c r="D138">
        <v>111.03835957278902</v>
      </c>
      <c r="E138">
        <v>112.93029995237468</v>
      </c>
      <c r="F138">
        <v>113.65126315996599</v>
      </c>
      <c r="G138">
        <v>112.33837609446933</v>
      </c>
      <c r="H138">
        <v>111.232598120928</v>
      </c>
      <c r="I138">
        <v>111.33783434794668</v>
      </c>
      <c r="J138">
        <v>113.71661841367599</v>
      </c>
      <c r="K138">
        <v>111.23064951833935</v>
      </c>
      <c r="L138">
        <v>109.16265182915932</v>
      </c>
      <c r="M138">
        <v>113.78026456308267</v>
      </c>
      <c r="N138">
        <v>109.92138880833267</v>
      </c>
      <c r="O138">
        <v>460</v>
      </c>
    </row>
    <row r="139" spans="1:15" x14ac:dyDescent="0.25">
      <c r="A139">
        <v>2024</v>
      </c>
      <c r="B139">
        <v>2</v>
      </c>
      <c r="C139">
        <v>113.26009749680634</v>
      </c>
      <c r="D139">
        <v>112.17864393586433</v>
      </c>
      <c r="E139">
        <v>114.23811416588167</v>
      </c>
      <c r="F139">
        <v>115.01875112796999</v>
      </c>
      <c r="G139">
        <v>113.07242395059798</v>
      </c>
      <c r="H139">
        <v>112.18901099199233</v>
      </c>
      <c r="I139">
        <v>112.806286571648</v>
      </c>
      <c r="J139">
        <v>115.04377952745801</v>
      </c>
      <c r="K139">
        <v>112.31041072260867</v>
      </c>
      <c r="L139">
        <v>110.63508409496534</v>
      </c>
      <c r="M139">
        <v>115.400571994332</v>
      </c>
      <c r="N139">
        <v>110.65274110887901</v>
      </c>
      <c r="O139">
        <v>460</v>
      </c>
    </row>
    <row r="140" spans="1:15" x14ac:dyDescent="0.25">
      <c r="A140">
        <v>2024</v>
      </c>
      <c r="B140">
        <v>3</v>
      </c>
      <c r="C140">
        <v>113.77124661008565</v>
      </c>
      <c r="D140">
        <v>112.85801702663866</v>
      </c>
      <c r="E140">
        <v>114.597129280929</v>
      </c>
      <c r="F140">
        <v>115.49606979659001</v>
      </c>
      <c r="G140">
        <v>113.56389560750534</v>
      </c>
      <c r="H140">
        <v>112.82834833088198</v>
      </c>
      <c r="I140">
        <v>112.84635806500101</v>
      </c>
      <c r="J140">
        <v>114.83553740920301</v>
      </c>
      <c r="K140">
        <v>113.044290598811</v>
      </c>
      <c r="L140">
        <v>110.761560873535</v>
      </c>
      <c r="M140">
        <v>116.46414031406067</v>
      </c>
      <c r="N140">
        <v>111.32998142088866</v>
      </c>
      <c r="O140">
        <v>460</v>
      </c>
    </row>
    <row r="141" spans="1:15" x14ac:dyDescent="0.25">
      <c r="A141">
        <v>2024</v>
      </c>
      <c r="B141">
        <v>4</v>
      </c>
      <c r="C141">
        <v>113.14851805914201</v>
      </c>
      <c r="D141">
        <v>112.73862725650299</v>
      </c>
      <c r="E141">
        <v>113.51920437611399</v>
      </c>
      <c r="F141">
        <v>114.30269806583367</v>
      </c>
      <c r="G141">
        <v>112.448832096163</v>
      </c>
      <c r="H141">
        <v>111.998434086318</v>
      </c>
      <c r="I141">
        <v>111.69176015219598</v>
      </c>
      <c r="J141">
        <v>114.66467306338133</v>
      </c>
      <c r="K141">
        <v>113.123340624976</v>
      </c>
      <c r="L141">
        <v>110.36830680128901</v>
      </c>
      <c r="M141">
        <v>115.98767761552399</v>
      </c>
      <c r="N141">
        <v>110.86574009022934</v>
      </c>
      <c r="O141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08B9D-6E75-42F7-956F-45240F6CFDCB}">
  <dimension ref="A1:M242"/>
  <sheetViews>
    <sheetView workbookViewId="0"/>
  </sheetViews>
  <sheetFormatPr defaultRowHeight="15" x14ac:dyDescent="0.25"/>
  <cols>
    <col min="1" max="1" width="9.7109375" bestFit="1" customWidth="1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E1" t="s">
        <v>5</v>
      </c>
      <c r="F1" t="s">
        <v>6</v>
      </c>
      <c r="G1" t="s">
        <v>7</v>
      </c>
      <c r="H1" t="s">
        <v>8</v>
      </c>
      <c r="I1" t="s">
        <v>18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 s="1">
        <v>38353</v>
      </c>
      <c r="B2">
        <v>67.121917594868805</v>
      </c>
      <c r="C2">
        <v>66.615007631240999</v>
      </c>
      <c r="D2">
        <v>67.705108619109197</v>
      </c>
      <c r="E2">
        <v>70.469441947920899</v>
      </c>
      <c r="F2">
        <v>65.6038791415167</v>
      </c>
      <c r="G2">
        <v>64.969189047678498</v>
      </c>
      <c r="H2">
        <v>63.397862959346703</v>
      </c>
      <c r="J2">
        <v>67.508714208421694</v>
      </c>
      <c r="K2">
        <v>65.487634465549604</v>
      </c>
      <c r="L2">
        <v>68.333694282628898</v>
      </c>
      <c r="M2">
        <v>64.271958103554297</v>
      </c>
    </row>
    <row r="3" spans="1:13" x14ac:dyDescent="0.25">
      <c r="A3" s="1">
        <v>38384</v>
      </c>
      <c r="B3">
        <v>67.3046130616965</v>
      </c>
      <c r="C3">
        <v>66.832876338062704</v>
      </c>
      <c r="D3">
        <v>67.847033881736607</v>
      </c>
      <c r="E3">
        <v>70.599025168420397</v>
      </c>
      <c r="F3">
        <v>65.614125212009895</v>
      </c>
      <c r="G3">
        <v>64.752003259168703</v>
      </c>
      <c r="H3">
        <v>63.806175646673097</v>
      </c>
      <c r="J3">
        <v>67.610877367137405</v>
      </c>
      <c r="K3">
        <v>65.906087780925105</v>
      </c>
      <c r="L3">
        <v>68.706718446764796</v>
      </c>
      <c r="M3">
        <v>64.536711734742099</v>
      </c>
    </row>
    <row r="4" spans="1:13" x14ac:dyDescent="0.25">
      <c r="A4" s="1">
        <v>38412</v>
      </c>
      <c r="B4">
        <v>67.481873547331105</v>
      </c>
      <c r="C4">
        <v>66.905499240336596</v>
      </c>
      <c r="D4">
        <v>68.144401098670201</v>
      </c>
      <c r="E4">
        <v>70.726385485755202</v>
      </c>
      <c r="F4">
        <v>66.254928375079004</v>
      </c>
      <c r="G4">
        <v>65.153632944484301</v>
      </c>
      <c r="H4">
        <v>64.197366443672905</v>
      </c>
      <c r="J4">
        <v>67.666355710531604</v>
      </c>
      <c r="K4">
        <v>65.723519157506999</v>
      </c>
      <c r="L4">
        <v>68.871723373535602</v>
      </c>
      <c r="M4">
        <v>64.869294240760297</v>
      </c>
    </row>
    <row r="5" spans="1:13" x14ac:dyDescent="0.25">
      <c r="A5" s="1">
        <v>38443</v>
      </c>
      <c r="B5">
        <v>68.046960032897502</v>
      </c>
      <c r="C5">
        <v>67.222399177531798</v>
      </c>
      <c r="D5">
        <v>69.002711020274006</v>
      </c>
      <c r="E5">
        <v>71.712369607458001</v>
      </c>
      <c r="F5">
        <v>67.085066072411095</v>
      </c>
      <c r="G5">
        <v>65.770740652061903</v>
      </c>
      <c r="H5">
        <v>64.810922336828099</v>
      </c>
      <c r="J5">
        <v>67.908059172542906</v>
      </c>
      <c r="K5">
        <v>66.0026709214319</v>
      </c>
      <c r="L5">
        <v>69.275245872938399</v>
      </c>
      <c r="M5">
        <v>65.419576455455598</v>
      </c>
    </row>
    <row r="6" spans="1:13" x14ac:dyDescent="0.25">
      <c r="A6" s="1">
        <v>38473</v>
      </c>
      <c r="B6">
        <v>68.1661192519189</v>
      </c>
      <c r="C6">
        <v>67.354440818029801</v>
      </c>
      <c r="D6">
        <v>69.110844553704396</v>
      </c>
      <c r="E6">
        <v>71.761844231780103</v>
      </c>
      <c r="F6">
        <v>67.384518903226095</v>
      </c>
      <c r="G6">
        <v>66.113183609242995</v>
      </c>
      <c r="H6">
        <v>64.823366931973894</v>
      </c>
      <c r="J6">
        <v>68.146875903075994</v>
      </c>
      <c r="K6">
        <v>66.013476623717906</v>
      </c>
      <c r="L6">
        <v>69.294155663426594</v>
      </c>
      <c r="M6">
        <v>65.395807863822398</v>
      </c>
    </row>
    <row r="7" spans="1:13" x14ac:dyDescent="0.25">
      <c r="A7" s="1">
        <v>38504</v>
      </c>
      <c r="B7">
        <v>68.2145671907777</v>
      </c>
      <c r="C7">
        <v>67.578911606876403</v>
      </c>
      <c r="D7">
        <v>68.948644253558797</v>
      </c>
      <c r="E7">
        <v>71.558171574085506</v>
      </c>
      <c r="F7">
        <v>67.225602329457601</v>
      </c>
      <c r="G7">
        <v>66.009473742790107</v>
      </c>
      <c r="H7">
        <v>64.730322492516905</v>
      </c>
      <c r="J7">
        <v>68.377863720771799</v>
      </c>
      <c r="K7">
        <v>66.325918206311101</v>
      </c>
      <c r="L7">
        <v>69.233796534239104</v>
      </c>
      <c r="M7">
        <v>65.669814170232499</v>
      </c>
    </row>
    <row r="8" spans="1:13" x14ac:dyDescent="0.25">
      <c r="A8" s="1">
        <v>38534</v>
      </c>
      <c r="B8">
        <v>68.108353243614999</v>
      </c>
      <c r="C8">
        <v>67.473278294478007</v>
      </c>
      <c r="D8">
        <v>68.840510720128407</v>
      </c>
      <c r="E8">
        <v>71.401605141579594</v>
      </c>
      <c r="F8">
        <v>66.752805668316796</v>
      </c>
      <c r="G8">
        <v>65.954354205619197</v>
      </c>
      <c r="H8">
        <v>65.083572834208397</v>
      </c>
      <c r="J8">
        <v>68.284215817482604</v>
      </c>
      <c r="K8">
        <v>66.351437826904302</v>
      </c>
      <c r="L8">
        <v>68.813757545331896</v>
      </c>
      <c r="M8">
        <v>65.553484042293306</v>
      </c>
    </row>
    <row r="9" spans="1:13" x14ac:dyDescent="0.25">
      <c r="A9" s="1">
        <v>38565</v>
      </c>
      <c r="B9">
        <v>68.008711769054202</v>
      </c>
      <c r="C9">
        <v>67.440267884353503</v>
      </c>
      <c r="D9">
        <v>68.664793728304005</v>
      </c>
      <c r="E9">
        <v>71.213966599039793</v>
      </c>
      <c r="F9">
        <v>66.679655042572193</v>
      </c>
      <c r="G9">
        <v>65.914801816919805</v>
      </c>
      <c r="H9">
        <v>64.798557091550606</v>
      </c>
      <c r="J9">
        <v>68.277924251212298</v>
      </c>
      <c r="K9">
        <v>66.354583450882302</v>
      </c>
      <c r="L9">
        <v>69.163138423517395</v>
      </c>
      <c r="M9">
        <v>65.215596736082006</v>
      </c>
    </row>
    <row r="10" spans="1:13" x14ac:dyDescent="0.25">
      <c r="A10" s="1">
        <v>38596</v>
      </c>
      <c r="B10">
        <v>68.496080162748797</v>
      </c>
      <c r="C10">
        <v>68.2853343835407</v>
      </c>
      <c r="D10">
        <v>68.7188604950192</v>
      </c>
      <c r="E10">
        <v>71.121944687300001</v>
      </c>
      <c r="F10">
        <v>66.932023971643602</v>
      </c>
      <c r="G10">
        <v>66.156326062331402</v>
      </c>
      <c r="H10">
        <v>65.000494651139903</v>
      </c>
      <c r="J10">
        <v>69.296359727106505</v>
      </c>
      <c r="K10">
        <v>67.215559754049906</v>
      </c>
      <c r="L10">
        <v>69.430662898643106</v>
      </c>
      <c r="M10">
        <v>65.835364124195294</v>
      </c>
    </row>
    <row r="11" spans="1:13" x14ac:dyDescent="0.25">
      <c r="A11" s="1">
        <v>38626</v>
      </c>
      <c r="B11">
        <v>68.7357768609902</v>
      </c>
      <c r="C11">
        <v>68.529611418461997</v>
      </c>
      <c r="D11">
        <v>68.955402599398198</v>
      </c>
      <c r="E11">
        <v>71.348803270160303</v>
      </c>
      <c r="F11">
        <v>67.024514356798406</v>
      </c>
      <c r="G11">
        <v>66.202695968041894</v>
      </c>
      <c r="H11">
        <v>65.458395370318996</v>
      </c>
      <c r="J11">
        <v>69.521137657401795</v>
      </c>
      <c r="K11">
        <v>67.421275224831504</v>
      </c>
      <c r="L11">
        <v>69.552598819629907</v>
      </c>
      <c r="M11">
        <v>66.215441500450396</v>
      </c>
    </row>
    <row r="12" spans="1:13" x14ac:dyDescent="0.25">
      <c r="A12" s="1">
        <v>38657</v>
      </c>
      <c r="B12">
        <v>68.851363105484594</v>
      </c>
      <c r="C12">
        <v>68.589030156686107</v>
      </c>
      <c r="D12">
        <v>69.137877937062001</v>
      </c>
      <c r="E12">
        <v>71.365752830233504</v>
      </c>
      <c r="F12">
        <v>67.908152509507104</v>
      </c>
      <c r="G12">
        <v>66.239125759837194</v>
      </c>
      <c r="H12">
        <v>65.432340411804304</v>
      </c>
      <c r="J12">
        <v>69.420439807655001</v>
      </c>
      <c r="K12">
        <v>67.830161241493698</v>
      </c>
      <c r="L12">
        <v>69.8676213733075</v>
      </c>
      <c r="M12">
        <v>66.267229078354404</v>
      </c>
    </row>
    <row r="13" spans="1:13" x14ac:dyDescent="0.25">
      <c r="A13" s="1">
        <v>38687</v>
      </c>
      <c r="B13">
        <v>69.056664894734496</v>
      </c>
      <c r="C13">
        <v>68.767286371358395</v>
      </c>
      <c r="D13">
        <v>69.374420041440999</v>
      </c>
      <c r="E13">
        <v>71.581991903372099</v>
      </c>
      <c r="F13">
        <v>68.296005585874695</v>
      </c>
      <c r="G13">
        <v>66.331353834081995</v>
      </c>
      <c r="H13">
        <v>65.613780860742906</v>
      </c>
      <c r="J13">
        <v>69.52085414231</v>
      </c>
      <c r="K13">
        <v>68.031286543920402</v>
      </c>
      <c r="L13">
        <v>70.004084709193094</v>
      </c>
      <c r="M13">
        <v>66.671435933643906</v>
      </c>
    </row>
    <row r="14" spans="1:13" x14ac:dyDescent="0.25">
      <c r="A14" s="1">
        <v>38718</v>
      </c>
      <c r="B14">
        <v>69.386835080148202</v>
      </c>
      <c r="C14">
        <v>68.958746750080493</v>
      </c>
      <c r="D14">
        <v>69.867779287717198</v>
      </c>
      <c r="E14">
        <v>71.995684595688402</v>
      </c>
      <c r="F14">
        <v>68.793069426560507</v>
      </c>
      <c r="G14">
        <v>66.66143120449</v>
      </c>
      <c r="H14">
        <v>66.349859146151502</v>
      </c>
      <c r="J14">
        <v>69.594243719632303</v>
      </c>
      <c r="K14">
        <v>68.331685471188607</v>
      </c>
      <c r="L14">
        <v>70.409052441776694</v>
      </c>
      <c r="M14">
        <v>67.004078208225096</v>
      </c>
    </row>
    <row r="15" spans="1:13" x14ac:dyDescent="0.25">
      <c r="A15" s="1">
        <v>38749</v>
      </c>
      <c r="B15">
        <v>69.877960404046206</v>
      </c>
      <c r="C15">
        <v>69.506719558147196</v>
      </c>
      <c r="D15">
        <v>70.2935550755994</v>
      </c>
      <c r="E15">
        <v>72.282349800318997</v>
      </c>
      <c r="F15">
        <v>69.502806419464505</v>
      </c>
      <c r="G15">
        <v>67.081190308104397</v>
      </c>
      <c r="H15">
        <v>66.851018989830095</v>
      </c>
      <c r="J15">
        <v>70.351512118808998</v>
      </c>
      <c r="K15">
        <v>68.551453206070406</v>
      </c>
      <c r="L15">
        <v>70.679623675480499</v>
      </c>
      <c r="M15">
        <v>67.402907180848004</v>
      </c>
    </row>
    <row r="16" spans="1:13" x14ac:dyDescent="0.25">
      <c r="A16" s="1">
        <v>38777</v>
      </c>
      <c r="B16">
        <v>70.3332891531239</v>
      </c>
      <c r="C16">
        <v>69.889373051645194</v>
      </c>
      <c r="D16">
        <v>70.837669110382706</v>
      </c>
      <c r="E16">
        <v>72.911645139722197</v>
      </c>
      <c r="F16">
        <v>69.901927882309593</v>
      </c>
      <c r="G16">
        <v>67.773885735232</v>
      </c>
      <c r="H16">
        <v>67.278837758599494</v>
      </c>
      <c r="J16">
        <v>70.737974385071098</v>
      </c>
      <c r="K16">
        <v>69.238991319866201</v>
      </c>
      <c r="L16">
        <v>71.090939471326493</v>
      </c>
      <c r="M16">
        <v>67.446634326409196</v>
      </c>
    </row>
    <row r="17" spans="1:13" x14ac:dyDescent="0.25">
      <c r="A17" s="1">
        <v>38808</v>
      </c>
      <c r="B17">
        <v>70.381450027653102</v>
      </c>
      <c r="C17">
        <v>69.680566600048095</v>
      </c>
      <c r="D17">
        <v>71.192034255022804</v>
      </c>
      <c r="E17">
        <v>73.366265330512604</v>
      </c>
      <c r="F17">
        <v>70.234633944007101</v>
      </c>
      <c r="G17">
        <v>68.154564647495505</v>
      </c>
      <c r="H17">
        <v>67.390456465571702</v>
      </c>
      <c r="J17">
        <v>70.601434643655693</v>
      </c>
      <c r="K17">
        <v>68.6365376440788</v>
      </c>
      <c r="L17">
        <v>71.186710114750795</v>
      </c>
      <c r="M17">
        <v>67.274286310004797</v>
      </c>
    </row>
    <row r="18" spans="1:13" x14ac:dyDescent="0.25">
      <c r="A18" s="1">
        <v>38838</v>
      </c>
      <c r="B18">
        <v>70.284315151963298</v>
      </c>
      <c r="C18">
        <v>69.580966365313699</v>
      </c>
      <c r="D18">
        <v>71.097871288206505</v>
      </c>
      <c r="E18">
        <v>73.180907588701999</v>
      </c>
      <c r="F18">
        <v>70.529604804222103</v>
      </c>
      <c r="G18">
        <v>67.656423111497901</v>
      </c>
      <c r="H18">
        <v>67.267657419250099</v>
      </c>
      <c r="J18">
        <v>70.488759922866706</v>
      </c>
      <c r="K18">
        <v>68.530011141783106</v>
      </c>
      <c r="L18">
        <v>71.148117844290198</v>
      </c>
      <c r="M18">
        <v>67.190208091245495</v>
      </c>
    </row>
    <row r="19" spans="1:13" x14ac:dyDescent="0.25">
      <c r="A19" s="1">
        <v>38869</v>
      </c>
      <c r="B19">
        <v>70.122692372659699</v>
      </c>
      <c r="C19">
        <v>69.624068884182606</v>
      </c>
      <c r="D19">
        <v>70.692339396614898</v>
      </c>
      <c r="E19">
        <v>72.841079095150903</v>
      </c>
      <c r="F19">
        <v>69.516144256374204</v>
      </c>
      <c r="G19">
        <v>67.790795887176102</v>
      </c>
      <c r="H19">
        <v>67.128413599988903</v>
      </c>
      <c r="J19">
        <v>70.605350968129699</v>
      </c>
      <c r="K19">
        <v>68.6265697968539</v>
      </c>
      <c r="L19">
        <v>71.021768439411503</v>
      </c>
      <c r="M19">
        <v>67.0501509500494</v>
      </c>
    </row>
    <row r="20" spans="1:13" x14ac:dyDescent="0.25">
      <c r="A20" s="1">
        <v>38899</v>
      </c>
      <c r="B20">
        <v>70.143546402775897</v>
      </c>
      <c r="C20">
        <v>69.642109401505195</v>
      </c>
      <c r="D20">
        <v>70.716538914304095</v>
      </c>
      <c r="E20">
        <v>72.972872693811397</v>
      </c>
      <c r="F20">
        <v>69.2433493150495</v>
      </c>
      <c r="G20">
        <v>67.474109200581495</v>
      </c>
      <c r="H20">
        <v>67.257497998964993</v>
      </c>
      <c r="J20">
        <v>70.512312048438403</v>
      </c>
      <c r="K20">
        <v>68.987485223323702</v>
      </c>
      <c r="L20">
        <v>70.977441713799394</v>
      </c>
      <c r="M20">
        <v>67.078497324839105</v>
      </c>
    </row>
    <row r="21" spans="1:13" x14ac:dyDescent="0.25">
      <c r="A21" s="1">
        <v>38930</v>
      </c>
      <c r="B21">
        <v>70.294098679230601</v>
      </c>
      <c r="C21">
        <v>69.802283230312497</v>
      </c>
      <c r="D21">
        <v>70.855572735617301</v>
      </c>
      <c r="E21">
        <v>72.985797492270905</v>
      </c>
      <c r="F21">
        <v>69.535429421129805</v>
      </c>
      <c r="G21">
        <v>67.124672984131706</v>
      </c>
      <c r="H21">
        <v>67.707316332876005</v>
      </c>
      <c r="J21">
        <v>70.540953340527594</v>
      </c>
      <c r="K21">
        <v>69.344613068368702</v>
      </c>
      <c r="L21">
        <v>71.144804096925498</v>
      </c>
      <c r="M21">
        <v>67.418259414133601</v>
      </c>
    </row>
    <row r="22" spans="1:13" x14ac:dyDescent="0.25">
      <c r="A22" s="1">
        <v>38961</v>
      </c>
      <c r="B22">
        <v>70.696812923341994</v>
      </c>
      <c r="C22">
        <v>70.567156578254298</v>
      </c>
      <c r="D22">
        <v>70.826570617393699</v>
      </c>
      <c r="E22">
        <v>72.8308752365175</v>
      </c>
      <c r="F22">
        <v>69.393495094403704</v>
      </c>
      <c r="G22">
        <v>67.343029153154106</v>
      </c>
      <c r="H22">
        <v>68.0399714333291</v>
      </c>
      <c r="J22">
        <v>71.166403696379305</v>
      </c>
      <c r="K22">
        <v>70.750739144971604</v>
      </c>
      <c r="L22">
        <v>71.226133289804594</v>
      </c>
      <c r="M22">
        <v>68.274284281716803</v>
      </c>
    </row>
    <row r="23" spans="1:13" x14ac:dyDescent="0.25">
      <c r="A23" s="1">
        <v>38991</v>
      </c>
      <c r="B23">
        <v>70.943381885484001</v>
      </c>
      <c r="C23">
        <v>70.765272934371694</v>
      </c>
      <c r="D23">
        <v>71.130792940384097</v>
      </c>
      <c r="E23">
        <v>73.2752065603961</v>
      </c>
      <c r="F23">
        <v>69.724977309120305</v>
      </c>
      <c r="G23">
        <v>67.879144285805097</v>
      </c>
      <c r="H23">
        <v>67.895575134089597</v>
      </c>
      <c r="J23">
        <v>71.391135940588498</v>
      </c>
      <c r="K23">
        <v>70.878327096689802</v>
      </c>
      <c r="L23">
        <v>71.403313697012607</v>
      </c>
      <c r="M23">
        <v>68.475245612312193</v>
      </c>
    </row>
    <row r="24" spans="1:13" x14ac:dyDescent="0.25">
      <c r="A24" s="1">
        <v>39022</v>
      </c>
      <c r="B24">
        <v>71.060782025348104</v>
      </c>
      <c r="C24">
        <v>70.823362037881907</v>
      </c>
      <c r="D24">
        <v>71.318831364678303</v>
      </c>
      <c r="E24">
        <v>73.535692345947496</v>
      </c>
      <c r="F24">
        <v>70.027147492808496</v>
      </c>
      <c r="G24">
        <v>67.861694449829898</v>
      </c>
      <c r="H24">
        <v>67.8458270104109</v>
      </c>
      <c r="J24">
        <v>71.457794281679597</v>
      </c>
      <c r="K24">
        <v>70.979150971851197</v>
      </c>
      <c r="L24">
        <v>71.533432368219493</v>
      </c>
      <c r="M24">
        <v>68.432459763999503</v>
      </c>
    </row>
    <row r="25" spans="1:13" x14ac:dyDescent="0.25">
      <c r="A25" s="1">
        <v>39052</v>
      </c>
      <c r="B25">
        <v>71.038173151645296</v>
      </c>
      <c r="C25">
        <v>70.865463997580093</v>
      </c>
      <c r="D25">
        <v>71.2191162263791</v>
      </c>
      <c r="E25">
        <v>73.225711238950794</v>
      </c>
      <c r="F25">
        <v>70.018414916172304</v>
      </c>
      <c r="G25">
        <v>68.1100502537344</v>
      </c>
      <c r="H25">
        <v>68.099518234734006</v>
      </c>
      <c r="J25">
        <v>71.610138584407395</v>
      </c>
      <c r="K25">
        <v>70.9228253983473</v>
      </c>
      <c r="L25">
        <v>71.556462401590593</v>
      </c>
      <c r="M25">
        <v>68.264365226940399</v>
      </c>
    </row>
    <row r="26" spans="1:13" x14ac:dyDescent="0.25">
      <c r="A26" s="1">
        <v>39083</v>
      </c>
      <c r="B26">
        <v>71.249074948078501</v>
      </c>
      <c r="C26">
        <v>70.965389439202596</v>
      </c>
      <c r="D26">
        <v>71.562191759572499</v>
      </c>
      <c r="E26">
        <v>73.656019758069505</v>
      </c>
      <c r="F26">
        <v>70.126962453367895</v>
      </c>
      <c r="G26">
        <v>68.476633781046701</v>
      </c>
      <c r="H26">
        <v>68.438379427344103</v>
      </c>
      <c r="J26">
        <v>71.679103958894103</v>
      </c>
      <c r="K26">
        <v>70.949279801550205</v>
      </c>
      <c r="L26">
        <v>71.702382594286902</v>
      </c>
      <c r="M26">
        <v>68.503545326699296</v>
      </c>
    </row>
    <row r="27" spans="1:13" x14ac:dyDescent="0.25">
      <c r="A27" s="1">
        <v>39114</v>
      </c>
      <c r="B27">
        <v>71.297216224101803</v>
      </c>
      <c r="C27">
        <v>70.936288799410207</v>
      </c>
      <c r="D27">
        <v>71.7023633192793</v>
      </c>
      <c r="E27">
        <v>73.8381859731426</v>
      </c>
      <c r="F27">
        <v>70.388368771813802</v>
      </c>
      <c r="G27">
        <v>68.689592990448801</v>
      </c>
      <c r="H27">
        <v>68.334566543860007</v>
      </c>
      <c r="J27">
        <v>71.497527600071095</v>
      </c>
      <c r="K27">
        <v>70.923349690207004</v>
      </c>
      <c r="L27">
        <v>71.903490081042094</v>
      </c>
      <c r="M27">
        <v>68.799529529915901</v>
      </c>
    </row>
    <row r="28" spans="1:13" x14ac:dyDescent="0.25">
      <c r="A28" s="1">
        <v>39142</v>
      </c>
      <c r="B28">
        <v>71.365551158402099</v>
      </c>
      <c r="C28">
        <v>70.898190724202095</v>
      </c>
      <c r="D28">
        <v>71.897507717927496</v>
      </c>
      <c r="E28">
        <v>73.840513814038601</v>
      </c>
      <c r="F28">
        <v>71.201478544549602</v>
      </c>
      <c r="G28">
        <v>68.730705721343398</v>
      </c>
      <c r="H28">
        <v>68.471599220530706</v>
      </c>
      <c r="J28">
        <v>71.528160413307603</v>
      </c>
      <c r="K28">
        <v>70.934488771486002</v>
      </c>
      <c r="L28">
        <v>72.024384211213302</v>
      </c>
      <c r="M28">
        <v>68.440520862236099</v>
      </c>
    </row>
    <row r="29" spans="1:13" x14ac:dyDescent="0.25">
      <c r="A29" s="1">
        <v>39173</v>
      </c>
      <c r="B29">
        <v>71.358784077446103</v>
      </c>
      <c r="C29">
        <v>70.871885860624403</v>
      </c>
      <c r="D29">
        <v>71.914025662192998</v>
      </c>
      <c r="E29">
        <v>73.881364532258303</v>
      </c>
      <c r="F29">
        <v>70.793332975560602</v>
      </c>
      <c r="G29">
        <v>68.654105070228596</v>
      </c>
      <c r="H29">
        <v>68.8596793628965</v>
      </c>
      <c r="J29">
        <v>71.489693139127596</v>
      </c>
      <c r="K29">
        <v>71.105083832531903</v>
      </c>
      <c r="L29">
        <v>71.852642160933499</v>
      </c>
      <c r="M29">
        <v>68.324071916959795</v>
      </c>
    </row>
    <row r="30" spans="1:13" x14ac:dyDescent="0.25">
      <c r="A30" s="1">
        <v>39203</v>
      </c>
      <c r="B30">
        <v>71.380284305085198</v>
      </c>
      <c r="C30">
        <v>70.831630241324405</v>
      </c>
      <c r="D30">
        <v>72.009111163734701</v>
      </c>
      <c r="E30">
        <v>73.976943779945898</v>
      </c>
      <c r="F30">
        <v>71.296651340485894</v>
      </c>
      <c r="G30">
        <v>68.947852449036404</v>
      </c>
      <c r="H30">
        <v>68.506244298863095</v>
      </c>
      <c r="J30">
        <v>71.479043742399298</v>
      </c>
      <c r="K30">
        <v>70.948528226568101</v>
      </c>
      <c r="L30">
        <v>71.952804495624093</v>
      </c>
      <c r="M30">
        <v>68.246988340069095</v>
      </c>
    </row>
    <row r="31" spans="1:13" x14ac:dyDescent="0.25">
      <c r="A31" s="1">
        <v>39234</v>
      </c>
      <c r="B31">
        <v>71.656887971861295</v>
      </c>
      <c r="C31">
        <v>71.175252588094494</v>
      </c>
      <c r="D31">
        <v>72.205753614841399</v>
      </c>
      <c r="E31">
        <v>74.061400308858595</v>
      </c>
      <c r="F31">
        <v>71.484356416924001</v>
      </c>
      <c r="G31">
        <v>69.166706670278998</v>
      </c>
      <c r="H31">
        <v>68.991993067973098</v>
      </c>
      <c r="J31">
        <v>71.748141835145205</v>
      </c>
      <c r="K31">
        <v>71.364973424632893</v>
      </c>
      <c r="L31">
        <v>72.237625486207506</v>
      </c>
      <c r="M31">
        <v>68.760058673834195</v>
      </c>
    </row>
    <row r="32" spans="1:13" x14ac:dyDescent="0.25">
      <c r="A32" s="1">
        <v>39264</v>
      </c>
      <c r="B32">
        <v>71.956440728174897</v>
      </c>
      <c r="C32">
        <v>71.585825466437797</v>
      </c>
      <c r="D32">
        <v>72.372901772560596</v>
      </c>
      <c r="E32">
        <v>74.147892844482499</v>
      </c>
      <c r="F32">
        <v>71.4907436844221</v>
      </c>
      <c r="G32">
        <v>69.276969309109504</v>
      </c>
      <c r="H32">
        <v>69.535451514670598</v>
      </c>
      <c r="J32">
        <v>72.127742966814793</v>
      </c>
      <c r="K32">
        <v>71.746215522541505</v>
      </c>
      <c r="L32">
        <v>72.542189855709907</v>
      </c>
      <c r="M32">
        <v>69.3381097772846</v>
      </c>
    </row>
    <row r="33" spans="1:13" x14ac:dyDescent="0.25">
      <c r="A33" s="1">
        <v>39295</v>
      </c>
      <c r="B33">
        <v>72.008931576788797</v>
      </c>
      <c r="C33">
        <v>71.864758459433702</v>
      </c>
      <c r="D33">
        <v>72.155529161342201</v>
      </c>
      <c r="E33">
        <v>73.906476243556597</v>
      </c>
      <c r="F33">
        <v>71.599739705402101</v>
      </c>
      <c r="G33">
        <v>69.233361396037097</v>
      </c>
      <c r="H33">
        <v>69.017842989127502</v>
      </c>
      <c r="J33">
        <v>72.483485721490794</v>
      </c>
      <c r="K33">
        <v>71.975715379727603</v>
      </c>
      <c r="L33">
        <v>72.787067654372095</v>
      </c>
      <c r="M33">
        <v>69.461284960616894</v>
      </c>
    </row>
    <row r="34" spans="1:13" x14ac:dyDescent="0.25">
      <c r="A34" s="1">
        <v>39326</v>
      </c>
      <c r="B34">
        <v>72.520301961016301</v>
      </c>
      <c r="C34">
        <v>72.499988105550997</v>
      </c>
      <c r="D34">
        <v>72.5191207298747</v>
      </c>
      <c r="E34">
        <v>74.405475537117098</v>
      </c>
      <c r="F34">
        <v>71.915663865005101</v>
      </c>
      <c r="G34">
        <v>69.464293766436001</v>
      </c>
      <c r="H34">
        <v>69.117938678249999</v>
      </c>
      <c r="J34">
        <v>73.048359843490204</v>
      </c>
      <c r="K34">
        <v>72.882940621167705</v>
      </c>
      <c r="L34">
        <v>73.497977473889193</v>
      </c>
      <c r="M34">
        <v>69.993730292481899</v>
      </c>
    </row>
    <row r="35" spans="1:13" x14ac:dyDescent="0.25">
      <c r="A35" s="1">
        <v>39356</v>
      </c>
      <c r="B35">
        <v>72.617998567446406</v>
      </c>
      <c r="C35">
        <v>72.546139795547603</v>
      </c>
      <c r="D35">
        <v>72.6782078401409</v>
      </c>
      <c r="E35">
        <v>74.573301739469997</v>
      </c>
      <c r="F35">
        <v>72.113802666832399</v>
      </c>
      <c r="G35">
        <v>69.644784661753704</v>
      </c>
      <c r="H35">
        <v>69.211225632157493</v>
      </c>
      <c r="J35">
        <v>73.062272359744199</v>
      </c>
      <c r="K35">
        <v>72.815913149541203</v>
      </c>
      <c r="L35">
        <v>73.820683627342305</v>
      </c>
      <c r="M35">
        <v>70.112726128078094</v>
      </c>
    </row>
    <row r="36" spans="1:13" x14ac:dyDescent="0.25">
      <c r="A36" s="1">
        <v>39387</v>
      </c>
      <c r="B36">
        <v>72.979255928648399</v>
      </c>
      <c r="C36">
        <v>72.846441420775705</v>
      </c>
      <c r="D36">
        <v>73.111978058339602</v>
      </c>
      <c r="E36">
        <v>74.793533097773405</v>
      </c>
      <c r="F36">
        <v>72.688289598567195</v>
      </c>
      <c r="G36">
        <v>70.126679664271805</v>
      </c>
      <c r="H36">
        <v>70.042156011191494</v>
      </c>
      <c r="J36">
        <v>73.333968322899395</v>
      </c>
      <c r="K36">
        <v>73.061549217187803</v>
      </c>
      <c r="L36">
        <v>74.2279761231393</v>
      </c>
      <c r="M36">
        <v>70.497868711499805</v>
      </c>
    </row>
    <row r="37" spans="1:13" x14ac:dyDescent="0.25">
      <c r="A37" s="1">
        <v>39417</v>
      </c>
      <c r="B37">
        <v>73.396431950662901</v>
      </c>
      <c r="C37">
        <v>73.286302786650694</v>
      </c>
      <c r="D37">
        <v>73.501974509579398</v>
      </c>
      <c r="E37">
        <v>75.234026868721102</v>
      </c>
      <c r="F37">
        <v>72.893336055724305</v>
      </c>
      <c r="G37">
        <v>70.764889449201803</v>
      </c>
      <c r="H37">
        <v>70.411850206697594</v>
      </c>
      <c r="J37">
        <v>73.937334192184295</v>
      </c>
      <c r="K37">
        <v>73.683986184009498</v>
      </c>
      <c r="L37">
        <v>74.569981453442196</v>
      </c>
      <c r="M37">
        <v>70.334838844791406</v>
      </c>
    </row>
    <row r="38" spans="1:13" x14ac:dyDescent="0.25">
      <c r="A38" s="1">
        <v>39448</v>
      </c>
      <c r="B38">
        <v>74.234712163967998</v>
      </c>
      <c r="C38">
        <v>74.064786212246304</v>
      </c>
      <c r="D38">
        <v>74.411219490590696</v>
      </c>
      <c r="E38">
        <v>76.095336096320196</v>
      </c>
      <c r="F38">
        <v>73.994986006596207</v>
      </c>
      <c r="G38">
        <v>71.330044393616603</v>
      </c>
      <c r="H38">
        <v>71.354154719978695</v>
      </c>
      <c r="J38">
        <v>74.690825234484294</v>
      </c>
      <c r="K38">
        <v>74.507673480948199</v>
      </c>
      <c r="L38">
        <v>75.129124091665105</v>
      </c>
      <c r="M38">
        <v>71.243508862796801</v>
      </c>
    </row>
    <row r="39" spans="1:13" x14ac:dyDescent="0.25">
      <c r="A39" s="1">
        <v>39479</v>
      </c>
      <c r="B39">
        <v>74.935165222909603</v>
      </c>
      <c r="C39">
        <v>74.706583295091605</v>
      </c>
      <c r="D39">
        <v>75.181326094420996</v>
      </c>
      <c r="E39">
        <v>76.842825966822005</v>
      </c>
      <c r="F39">
        <v>74.552617781233906</v>
      </c>
      <c r="G39">
        <v>73.192715562741498</v>
      </c>
      <c r="H39">
        <v>72.082951351601594</v>
      </c>
      <c r="J39">
        <v>75.339371300254797</v>
      </c>
      <c r="K39">
        <v>75.001767375941199</v>
      </c>
      <c r="L39">
        <v>75.502514606808305</v>
      </c>
      <c r="M39">
        <v>72.137914495309303</v>
      </c>
    </row>
    <row r="40" spans="1:13" x14ac:dyDescent="0.25">
      <c r="A40" s="1">
        <v>39508</v>
      </c>
      <c r="B40">
        <v>76.043909500590402</v>
      </c>
      <c r="C40">
        <v>75.732582743592701</v>
      </c>
      <c r="D40">
        <v>76.388287023673499</v>
      </c>
      <c r="E40">
        <v>77.897683816293593</v>
      </c>
      <c r="F40">
        <v>76.271793358373003</v>
      </c>
      <c r="G40">
        <v>74.664584841650694</v>
      </c>
      <c r="H40">
        <v>73.112994776203905</v>
      </c>
      <c r="J40">
        <v>76.408894973134394</v>
      </c>
      <c r="K40">
        <v>76.109348314548598</v>
      </c>
      <c r="L40">
        <v>76.253150750077097</v>
      </c>
      <c r="M40">
        <v>73.088036240212801</v>
      </c>
    </row>
    <row r="41" spans="1:13" x14ac:dyDescent="0.25">
      <c r="A41" s="1">
        <v>39539</v>
      </c>
      <c r="B41">
        <v>77.1984966198129</v>
      </c>
      <c r="C41">
        <v>76.540324409677297</v>
      </c>
      <c r="D41">
        <v>77.955796437468507</v>
      </c>
      <c r="E41">
        <v>78.931460850395197</v>
      </c>
      <c r="F41">
        <v>78.647425303747895</v>
      </c>
      <c r="G41">
        <v>76.000426272080603</v>
      </c>
      <c r="H41">
        <v>75.332382629650695</v>
      </c>
      <c r="J41">
        <v>77.070402933166207</v>
      </c>
      <c r="K41">
        <v>77.472776093028202</v>
      </c>
      <c r="L41">
        <v>76.899556375374999</v>
      </c>
      <c r="M41">
        <v>73.843240488281694</v>
      </c>
    </row>
    <row r="42" spans="1:13" x14ac:dyDescent="0.25">
      <c r="A42" s="1">
        <v>39569</v>
      </c>
      <c r="B42">
        <v>78.008168334879699</v>
      </c>
      <c r="C42">
        <v>77.597198632209995</v>
      </c>
      <c r="D42">
        <v>78.4706000376692</v>
      </c>
      <c r="E42">
        <v>79.821910442005304</v>
      </c>
      <c r="F42">
        <v>78.470573634514096</v>
      </c>
      <c r="G42">
        <v>75.434831277271698</v>
      </c>
      <c r="H42">
        <v>75.851248308408998</v>
      </c>
      <c r="J42">
        <v>77.921618642478805</v>
      </c>
      <c r="K42">
        <v>78.638220602243806</v>
      </c>
      <c r="L42">
        <v>78.268087163353897</v>
      </c>
      <c r="M42">
        <v>75.234035420650102</v>
      </c>
    </row>
    <row r="43" spans="1:13" x14ac:dyDescent="0.25">
      <c r="A43" s="1">
        <v>39600</v>
      </c>
      <c r="B43">
        <v>78.598521824506307</v>
      </c>
      <c r="C43">
        <v>78.170936295355801</v>
      </c>
      <c r="D43">
        <v>79.080547488448701</v>
      </c>
      <c r="E43">
        <v>80.671804054268506</v>
      </c>
      <c r="F43">
        <v>78.738658063228698</v>
      </c>
      <c r="G43">
        <v>75.818043315336396</v>
      </c>
      <c r="H43">
        <v>76.239206595507696</v>
      </c>
      <c r="J43">
        <v>78.649207461142595</v>
      </c>
      <c r="K43">
        <v>78.638407888553402</v>
      </c>
      <c r="L43">
        <v>78.726634676718803</v>
      </c>
      <c r="M43">
        <v>75.985515340903703</v>
      </c>
    </row>
    <row r="44" spans="1:13" x14ac:dyDescent="0.25">
      <c r="A44" s="1">
        <v>39630</v>
      </c>
      <c r="B44">
        <v>79.059259625257894</v>
      </c>
      <c r="C44">
        <v>78.757189767831207</v>
      </c>
      <c r="D44">
        <v>79.391550299964607</v>
      </c>
      <c r="E44">
        <v>80.741172138762593</v>
      </c>
      <c r="F44">
        <v>79.511895728054299</v>
      </c>
      <c r="G44">
        <v>76.492959405242004</v>
      </c>
      <c r="H44">
        <v>76.622734577326</v>
      </c>
      <c r="J44">
        <v>79.063503011139304</v>
      </c>
      <c r="K44">
        <v>79.483847362114503</v>
      </c>
      <c r="L44">
        <v>79.602581644870298</v>
      </c>
      <c r="M44">
        <v>76.671615851727395</v>
      </c>
    </row>
    <row r="45" spans="1:13" x14ac:dyDescent="0.25">
      <c r="A45" s="1">
        <v>39661</v>
      </c>
      <c r="B45">
        <v>79.225183414509601</v>
      </c>
      <c r="C45">
        <v>78.7604872172912</v>
      </c>
      <c r="D45">
        <v>79.7512134863141</v>
      </c>
      <c r="E45">
        <v>81.083921081397506</v>
      </c>
      <c r="F45">
        <v>79.947560288212003</v>
      </c>
      <c r="G45">
        <v>76.957065319028203</v>
      </c>
      <c r="H45">
        <v>76.923605951069106</v>
      </c>
      <c r="J45">
        <v>78.871496786865194</v>
      </c>
      <c r="K45">
        <v>79.845930606977305</v>
      </c>
      <c r="L45">
        <v>79.497582601536394</v>
      </c>
      <c r="M45">
        <v>76.932863410615298</v>
      </c>
    </row>
    <row r="46" spans="1:13" x14ac:dyDescent="0.25">
      <c r="A46" s="1">
        <v>39692</v>
      </c>
      <c r="B46">
        <v>79.747573296529694</v>
      </c>
      <c r="C46">
        <v>79.453409432740898</v>
      </c>
      <c r="D46">
        <v>80.070201636326203</v>
      </c>
      <c r="E46">
        <v>81.413827565610404</v>
      </c>
      <c r="F46">
        <v>79.969054880451907</v>
      </c>
      <c r="G46">
        <v>77.341293465543004</v>
      </c>
      <c r="H46">
        <v>77.482317323730996</v>
      </c>
      <c r="J46">
        <v>79.5597682343043</v>
      </c>
      <c r="K46">
        <v>80.4049284217663</v>
      </c>
      <c r="L46">
        <v>80.490449745874898</v>
      </c>
      <c r="M46">
        <v>77.628120373827997</v>
      </c>
    </row>
    <row r="47" spans="1:13" x14ac:dyDescent="0.25">
      <c r="A47" s="1">
        <v>39722</v>
      </c>
      <c r="B47">
        <v>79.772782251288703</v>
      </c>
      <c r="C47">
        <v>79.389449818052199</v>
      </c>
      <c r="D47">
        <v>80.201661579213607</v>
      </c>
      <c r="E47">
        <v>81.377506237917004</v>
      </c>
      <c r="F47">
        <v>80.498015273515605</v>
      </c>
      <c r="G47">
        <v>77.734547985683093</v>
      </c>
      <c r="H47">
        <v>77.588093142083594</v>
      </c>
      <c r="J47">
        <v>79.782976663268997</v>
      </c>
      <c r="K47">
        <v>80.163624892214202</v>
      </c>
      <c r="L47">
        <v>80.318626555634594</v>
      </c>
      <c r="M47">
        <v>76.966523010767901</v>
      </c>
    </row>
    <row r="48" spans="1:13" x14ac:dyDescent="0.25">
      <c r="A48" s="1">
        <v>39753</v>
      </c>
      <c r="B48">
        <v>79.644603014886698</v>
      </c>
      <c r="C48">
        <v>79.182818731408602</v>
      </c>
      <c r="D48">
        <v>80.167016201427501</v>
      </c>
      <c r="E48">
        <v>80.967003937323199</v>
      </c>
      <c r="F48">
        <v>81.160236209732702</v>
      </c>
      <c r="G48">
        <v>77.501585356363506</v>
      </c>
      <c r="H48">
        <v>77.899639191742494</v>
      </c>
      <c r="J48">
        <v>79.538726919661599</v>
      </c>
      <c r="K48">
        <v>80.225631554499898</v>
      </c>
      <c r="L48">
        <v>80.2634538356549</v>
      </c>
      <c r="M48">
        <v>76.531592397275205</v>
      </c>
    </row>
    <row r="49" spans="1:13" x14ac:dyDescent="0.25">
      <c r="A49" s="1">
        <v>39783</v>
      </c>
      <c r="B49">
        <v>79.877734234298799</v>
      </c>
      <c r="C49">
        <v>79.403575992077606</v>
      </c>
      <c r="D49">
        <v>80.414811521344205</v>
      </c>
      <c r="E49">
        <v>81.383791342184693</v>
      </c>
      <c r="F49">
        <v>81.088644255641199</v>
      </c>
      <c r="G49">
        <v>78.0974675138458</v>
      </c>
      <c r="H49">
        <v>77.925745362827996</v>
      </c>
      <c r="J49">
        <v>79.756753437784994</v>
      </c>
      <c r="K49">
        <v>80.149711515076206</v>
      </c>
      <c r="L49">
        <v>80.686473596174295</v>
      </c>
      <c r="M49">
        <v>76.956346191997497</v>
      </c>
    </row>
    <row r="50" spans="1:13" x14ac:dyDescent="0.25">
      <c r="A50" s="1">
        <v>39814</v>
      </c>
      <c r="B50">
        <v>80.442803617689293</v>
      </c>
      <c r="C50">
        <v>79.9504180207947</v>
      </c>
      <c r="D50">
        <v>81.001404132941502</v>
      </c>
      <c r="E50">
        <v>81.725632381725703</v>
      </c>
      <c r="F50">
        <v>82.201793385333701</v>
      </c>
      <c r="G50">
        <v>78.450720360325207</v>
      </c>
      <c r="H50">
        <v>78.696718477379406</v>
      </c>
      <c r="J50">
        <v>80.390238503991299</v>
      </c>
      <c r="K50">
        <v>80.490884063138296</v>
      </c>
      <c r="L50">
        <v>81.081029004834903</v>
      </c>
      <c r="M50">
        <v>77.528864967339004</v>
      </c>
    </row>
    <row r="51" spans="1:13" x14ac:dyDescent="0.25">
      <c r="A51" s="1">
        <v>39845</v>
      </c>
      <c r="B51">
        <v>80.817791730540307</v>
      </c>
      <c r="C51">
        <v>80.330308732095105</v>
      </c>
      <c r="D51">
        <v>81.370418669550503</v>
      </c>
      <c r="E51">
        <v>82.233116883307503</v>
      </c>
      <c r="F51">
        <v>81.739145899764594</v>
      </c>
      <c r="G51">
        <v>79.084774630802599</v>
      </c>
      <c r="H51">
        <v>79.437144797476293</v>
      </c>
      <c r="J51">
        <v>80.665353610180901</v>
      </c>
      <c r="K51">
        <v>80.979634952584703</v>
      </c>
      <c r="L51">
        <v>81.601170410703702</v>
      </c>
      <c r="M51">
        <v>78.035086679590705</v>
      </c>
    </row>
    <row r="52" spans="1:13" x14ac:dyDescent="0.25">
      <c r="A52" s="1">
        <v>39873</v>
      </c>
      <c r="B52">
        <v>81.699661758844201</v>
      </c>
      <c r="C52">
        <v>81.188971487695298</v>
      </c>
      <c r="D52">
        <v>82.2796354528911</v>
      </c>
      <c r="E52">
        <v>83.248167502266</v>
      </c>
      <c r="F52">
        <v>82.178554873420794</v>
      </c>
      <c r="G52">
        <v>79.994941417823995</v>
      </c>
      <c r="H52">
        <v>80.526810020962998</v>
      </c>
      <c r="J52">
        <v>81.455783091567596</v>
      </c>
      <c r="K52">
        <v>82.085925586006297</v>
      </c>
      <c r="L52">
        <v>82.302515013282004</v>
      </c>
      <c r="M52">
        <v>78.919041649773604</v>
      </c>
    </row>
    <row r="53" spans="1:13" x14ac:dyDescent="0.25">
      <c r="A53" s="1">
        <v>39904</v>
      </c>
      <c r="B53">
        <v>82.234769983786407</v>
      </c>
      <c r="C53">
        <v>81.645040081404503</v>
      </c>
      <c r="D53">
        <v>82.908745768401104</v>
      </c>
      <c r="E53">
        <v>83.456647792900199</v>
      </c>
      <c r="F53">
        <v>83.707100654570496</v>
      </c>
      <c r="G53">
        <v>81.096949276714497</v>
      </c>
      <c r="H53">
        <v>81.235662415277602</v>
      </c>
      <c r="J53">
        <v>81.8787401520038</v>
      </c>
      <c r="K53">
        <v>82.683354108238206</v>
      </c>
      <c r="L53">
        <v>82.533372058741307</v>
      </c>
      <c r="M53">
        <v>79.437006837924599</v>
      </c>
    </row>
    <row r="54" spans="1:13" x14ac:dyDescent="0.25">
      <c r="A54" s="1">
        <v>39934</v>
      </c>
      <c r="B54">
        <v>82.227596839210605</v>
      </c>
      <c r="C54">
        <v>81.634506800861402</v>
      </c>
      <c r="D54">
        <v>82.905579319775995</v>
      </c>
      <c r="E54">
        <v>83.639958774974204</v>
      </c>
      <c r="F54">
        <v>83.372558243496499</v>
      </c>
      <c r="G54">
        <v>81.010174744473105</v>
      </c>
      <c r="H54">
        <v>81.097433489252197</v>
      </c>
      <c r="J54">
        <v>81.770069042204</v>
      </c>
      <c r="K54">
        <v>82.588296169737006</v>
      </c>
      <c r="L54">
        <v>82.746769363879906</v>
      </c>
      <c r="M54">
        <v>79.685074740989293</v>
      </c>
    </row>
    <row r="55" spans="1:13" x14ac:dyDescent="0.25">
      <c r="A55" s="1">
        <v>39965</v>
      </c>
      <c r="B55">
        <v>82.165439138970996</v>
      </c>
      <c r="C55">
        <v>81.598189183874993</v>
      </c>
      <c r="D55">
        <v>82.812650440169904</v>
      </c>
      <c r="E55">
        <v>83.731438950094898</v>
      </c>
      <c r="F55">
        <v>83.259327352477399</v>
      </c>
      <c r="G55">
        <v>80.855182896133101</v>
      </c>
      <c r="H55">
        <v>80.569955213665494</v>
      </c>
      <c r="J55">
        <v>81.704276262391005</v>
      </c>
      <c r="K55">
        <v>82.837373010594106</v>
      </c>
      <c r="L55">
        <v>82.585702662724799</v>
      </c>
      <c r="M55">
        <v>79.511290502759707</v>
      </c>
    </row>
    <row r="56" spans="1:13" x14ac:dyDescent="0.25">
      <c r="A56" s="1">
        <v>39995</v>
      </c>
      <c r="B56">
        <v>82.105064955248693</v>
      </c>
      <c r="C56">
        <v>81.551840665095895</v>
      </c>
      <c r="D56">
        <v>82.735583380886695</v>
      </c>
      <c r="E56">
        <v>83.493600847465004</v>
      </c>
      <c r="F56">
        <v>83.6895354323959</v>
      </c>
      <c r="G56">
        <v>81.157174802965002</v>
      </c>
      <c r="H56">
        <v>80.311331195842101</v>
      </c>
      <c r="J56">
        <v>81.900695408093597</v>
      </c>
      <c r="K56">
        <v>82.681097780828793</v>
      </c>
      <c r="L56">
        <v>82.559303552280895</v>
      </c>
      <c r="M56">
        <v>78.867630549434296</v>
      </c>
    </row>
    <row r="57" spans="1:13" x14ac:dyDescent="0.25">
      <c r="A57" s="1">
        <v>40026</v>
      </c>
      <c r="B57">
        <v>81.860631480841903</v>
      </c>
      <c r="C57">
        <v>81.401811049086902</v>
      </c>
      <c r="D57">
        <v>82.378736912234402</v>
      </c>
      <c r="E57">
        <v>82.708102952383996</v>
      </c>
      <c r="F57">
        <v>83.647480630946802</v>
      </c>
      <c r="G57">
        <v>81.471548480891201</v>
      </c>
      <c r="H57">
        <v>80.561390886618497</v>
      </c>
      <c r="J57">
        <v>81.696005085166505</v>
      </c>
      <c r="K57">
        <v>82.460025497726704</v>
      </c>
      <c r="L57">
        <v>82.531132036804493</v>
      </c>
      <c r="M57">
        <v>78.886768792245206</v>
      </c>
    </row>
    <row r="58" spans="1:13" x14ac:dyDescent="0.25">
      <c r="A58" s="1">
        <v>40057</v>
      </c>
      <c r="B58">
        <v>82.372647458828496</v>
      </c>
      <c r="C58">
        <v>82.297087194222001</v>
      </c>
      <c r="D58">
        <v>82.433852686155703</v>
      </c>
      <c r="E58">
        <v>82.849486355580297</v>
      </c>
      <c r="F58">
        <v>83.468244489469896</v>
      </c>
      <c r="G58">
        <v>81.190871591936798</v>
      </c>
      <c r="H58">
        <v>80.714305602180303</v>
      </c>
      <c r="J58">
        <v>82.739154077305898</v>
      </c>
      <c r="K58">
        <v>83.651126428225695</v>
      </c>
      <c r="L58">
        <v>82.957961614001107</v>
      </c>
      <c r="M58">
        <v>79.287508447720697</v>
      </c>
    </row>
    <row r="59" spans="1:13" x14ac:dyDescent="0.25">
      <c r="A59" s="1">
        <v>40087</v>
      </c>
      <c r="B59">
        <v>82.567887636556307</v>
      </c>
      <c r="C59">
        <v>82.423598572243705</v>
      </c>
      <c r="D59">
        <v>82.710926795416796</v>
      </c>
      <c r="E59">
        <v>83.362451793559501</v>
      </c>
      <c r="F59">
        <v>83.531065810990597</v>
      </c>
      <c r="G59">
        <v>81.264417766861001</v>
      </c>
      <c r="H59">
        <v>80.650772072033405</v>
      </c>
      <c r="J59">
        <v>82.721856807337204</v>
      </c>
      <c r="K59">
        <v>83.742229868958105</v>
      </c>
      <c r="L59">
        <v>83.149189970305798</v>
      </c>
      <c r="M59">
        <v>79.830499132093294</v>
      </c>
    </row>
    <row r="60" spans="1:13" x14ac:dyDescent="0.25">
      <c r="A60" s="1">
        <v>40118</v>
      </c>
      <c r="B60">
        <v>82.845119895532804</v>
      </c>
      <c r="C60">
        <v>82.494424779386307</v>
      </c>
      <c r="D60">
        <v>83.234030602297096</v>
      </c>
      <c r="E60">
        <v>83.480452024128994</v>
      </c>
      <c r="F60">
        <v>84.179675312584294</v>
      </c>
      <c r="G60">
        <v>81.593950675810206</v>
      </c>
      <c r="H60">
        <v>82.142260854122497</v>
      </c>
      <c r="J60">
        <v>82.679342815256604</v>
      </c>
      <c r="K60">
        <v>83.927332843682095</v>
      </c>
      <c r="L60">
        <v>83.519159885595101</v>
      </c>
      <c r="M60">
        <v>79.971940462241605</v>
      </c>
    </row>
    <row r="61" spans="1:13" x14ac:dyDescent="0.25">
      <c r="A61" s="1">
        <v>40148</v>
      </c>
      <c r="B61">
        <v>83.321857359366703</v>
      </c>
      <c r="C61">
        <v>83.046476634501303</v>
      </c>
      <c r="D61">
        <v>83.620851006810497</v>
      </c>
      <c r="E61">
        <v>83.582768131924794</v>
      </c>
      <c r="F61">
        <v>84.695739268050403</v>
      </c>
      <c r="G61">
        <v>82.354474046951907</v>
      </c>
      <c r="H61">
        <v>83.0282983625398</v>
      </c>
      <c r="J61">
        <v>83.483873919368094</v>
      </c>
      <c r="K61">
        <v>84.203427100291904</v>
      </c>
      <c r="L61">
        <v>83.176058501660606</v>
      </c>
      <c r="M61">
        <v>80.495357813035099</v>
      </c>
    </row>
    <row r="62" spans="1:13" x14ac:dyDescent="0.25">
      <c r="A62" s="1">
        <v>40179</v>
      </c>
      <c r="B62">
        <v>84.013990334764202</v>
      </c>
      <c r="C62">
        <v>83.632584760549904</v>
      </c>
      <c r="D62">
        <v>84.439088666800004</v>
      </c>
      <c r="E62">
        <v>84.531879890829501</v>
      </c>
      <c r="F62">
        <v>85.838308235901494</v>
      </c>
      <c r="G62">
        <v>82.645471708452803</v>
      </c>
      <c r="H62">
        <v>83.346725819703295</v>
      </c>
      <c r="J62">
        <v>84.077905262102405</v>
      </c>
      <c r="K62">
        <v>84.711436795904703</v>
      </c>
      <c r="L62">
        <v>83.449802832855895</v>
      </c>
      <c r="M62">
        <v>81.283031397775503</v>
      </c>
    </row>
    <row r="63" spans="1:13" x14ac:dyDescent="0.25">
      <c r="A63" s="1">
        <v>40210</v>
      </c>
      <c r="B63">
        <v>84.300315394083995</v>
      </c>
      <c r="C63">
        <v>83.876983297006603</v>
      </c>
      <c r="D63">
        <v>84.775276208907101</v>
      </c>
      <c r="E63">
        <v>84.996401056955605</v>
      </c>
      <c r="F63">
        <v>85.937469561946202</v>
      </c>
      <c r="G63">
        <v>82.957433966271395</v>
      </c>
      <c r="H63">
        <v>83.589305096904994</v>
      </c>
      <c r="J63">
        <v>84.289252817794207</v>
      </c>
      <c r="K63">
        <v>85.076393077611996</v>
      </c>
      <c r="L63">
        <v>83.695975317084304</v>
      </c>
      <c r="M63">
        <v>81.502324701594105</v>
      </c>
    </row>
    <row r="64" spans="1:13" x14ac:dyDescent="0.25">
      <c r="A64" s="1">
        <v>40238</v>
      </c>
      <c r="B64">
        <v>84.437661941132305</v>
      </c>
      <c r="C64">
        <v>84.010343588308103</v>
      </c>
      <c r="D64">
        <v>84.917324987137405</v>
      </c>
      <c r="E64">
        <v>84.883034890036399</v>
      </c>
      <c r="F64">
        <v>86.515275470076602</v>
      </c>
      <c r="G64">
        <v>83.496747724951106</v>
      </c>
      <c r="H64">
        <v>83.855293898537397</v>
      </c>
      <c r="J64">
        <v>84.453923176649894</v>
      </c>
      <c r="K64">
        <v>84.937962341148406</v>
      </c>
      <c r="L64">
        <v>83.699681352484006</v>
      </c>
      <c r="M64">
        <v>81.874934299623604</v>
      </c>
    </row>
    <row r="65" spans="1:13" x14ac:dyDescent="0.25">
      <c r="A65" s="1">
        <v>40269</v>
      </c>
      <c r="B65">
        <v>84.874473933222603</v>
      </c>
      <c r="C65">
        <v>84.266874193635701</v>
      </c>
      <c r="D65">
        <v>85.568820590873599</v>
      </c>
      <c r="E65">
        <v>85.477228281899201</v>
      </c>
      <c r="F65">
        <v>86.910122370987395</v>
      </c>
      <c r="G65">
        <v>84.449753480764997</v>
      </c>
      <c r="H65">
        <v>84.816038472219802</v>
      </c>
      <c r="J65">
        <v>84.835199490949407</v>
      </c>
      <c r="K65">
        <v>84.832543003454802</v>
      </c>
      <c r="L65">
        <v>84.286433695494793</v>
      </c>
      <c r="M65">
        <v>81.973510633724899</v>
      </c>
    </row>
    <row r="66" spans="1:13" x14ac:dyDescent="0.25">
      <c r="A66" s="1">
        <v>40299</v>
      </c>
      <c r="B66">
        <v>84.888697284646298</v>
      </c>
      <c r="C66">
        <v>84.352789797616197</v>
      </c>
      <c r="D66">
        <v>85.497605211462599</v>
      </c>
      <c r="E66">
        <v>85.657052777275197</v>
      </c>
      <c r="F66">
        <v>86.334923108866903</v>
      </c>
      <c r="G66">
        <v>84.460691335586503</v>
      </c>
      <c r="H66">
        <v>84.564581497346396</v>
      </c>
      <c r="J66">
        <v>84.875220318303406</v>
      </c>
      <c r="K66">
        <v>85.036258966421002</v>
      </c>
      <c r="L66">
        <v>84.477831609593196</v>
      </c>
      <c r="M66">
        <v>82.024907251107194</v>
      </c>
    </row>
    <row r="67" spans="1:13" x14ac:dyDescent="0.25">
      <c r="A67" s="1">
        <v>40330</v>
      </c>
      <c r="B67">
        <v>84.880883079308802</v>
      </c>
      <c r="C67">
        <v>84.432659583406405</v>
      </c>
      <c r="D67">
        <v>85.385303060761501</v>
      </c>
      <c r="E67">
        <v>85.739788152271103</v>
      </c>
      <c r="F67">
        <v>86.631325490035394</v>
      </c>
      <c r="G67">
        <v>84.088968997813495</v>
      </c>
      <c r="H67">
        <v>83.633239026600293</v>
      </c>
      <c r="J67">
        <v>84.682299638121705</v>
      </c>
      <c r="K67">
        <v>85.828651790987607</v>
      </c>
      <c r="L67">
        <v>84.652049427078396</v>
      </c>
      <c r="M67">
        <v>82.140343464580198</v>
      </c>
    </row>
    <row r="68" spans="1:13" x14ac:dyDescent="0.25">
      <c r="A68" s="1">
        <v>40360</v>
      </c>
      <c r="B68">
        <v>84.897488754603501</v>
      </c>
      <c r="C68">
        <v>84.523854890221003</v>
      </c>
      <c r="D68">
        <v>85.313016441714296</v>
      </c>
      <c r="E68">
        <v>85.601393563537599</v>
      </c>
      <c r="F68">
        <v>86.471290827552806</v>
      </c>
      <c r="G68">
        <v>83.987863000867904</v>
      </c>
      <c r="H68">
        <v>83.822189588232007</v>
      </c>
      <c r="J68">
        <v>84.853135522026605</v>
      </c>
      <c r="K68">
        <v>85.627968317833194</v>
      </c>
      <c r="L68">
        <v>84.702184645117498</v>
      </c>
      <c r="M68">
        <v>82.310041198330595</v>
      </c>
    </row>
    <row r="69" spans="1:13" x14ac:dyDescent="0.25">
      <c r="A69" s="1">
        <v>40391</v>
      </c>
      <c r="B69">
        <v>84.987929088288894</v>
      </c>
      <c r="C69">
        <v>84.512682417196501</v>
      </c>
      <c r="D69">
        <v>85.524514393319507</v>
      </c>
      <c r="E69">
        <v>85.7312842089448</v>
      </c>
      <c r="F69">
        <v>86.781372355227603</v>
      </c>
      <c r="G69">
        <v>84.368077590221205</v>
      </c>
      <c r="H69">
        <v>84.100718174213696</v>
      </c>
      <c r="J69">
        <v>84.902009150264405</v>
      </c>
      <c r="K69">
        <v>85.654324932940497</v>
      </c>
      <c r="L69">
        <v>84.812038741717402</v>
      </c>
      <c r="M69">
        <v>82.032358598648699</v>
      </c>
    </row>
    <row r="70" spans="1:13" x14ac:dyDescent="0.25">
      <c r="A70" s="1">
        <v>40422</v>
      </c>
      <c r="B70">
        <v>85.206306560617406</v>
      </c>
      <c r="C70">
        <v>84.9227015574305</v>
      </c>
      <c r="D70">
        <v>85.514441132993696</v>
      </c>
      <c r="E70">
        <v>85.795705923381604</v>
      </c>
      <c r="F70">
        <v>86.633964051109501</v>
      </c>
      <c r="G70">
        <v>84.547153470061403</v>
      </c>
      <c r="H70">
        <v>83.979705540129302</v>
      </c>
      <c r="J70">
        <v>85.0132584675587</v>
      </c>
      <c r="K70">
        <v>86.029626068151501</v>
      </c>
      <c r="L70">
        <v>85.990538357893797</v>
      </c>
      <c r="M70">
        <v>82.968743020001199</v>
      </c>
    </row>
    <row r="71" spans="1:13" x14ac:dyDescent="0.25">
      <c r="A71" s="1">
        <v>40452</v>
      </c>
      <c r="B71">
        <v>85.423004175456896</v>
      </c>
      <c r="C71">
        <v>85.097396958084303</v>
      </c>
      <c r="D71">
        <v>85.781115805891105</v>
      </c>
      <c r="E71">
        <v>86.271072329303195</v>
      </c>
      <c r="F71">
        <v>86.857854792949396</v>
      </c>
      <c r="G71">
        <v>84.560213298634096</v>
      </c>
      <c r="H71">
        <v>83.824475822467605</v>
      </c>
      <c r="J71">
        <v>85.262810603329399</v>
      </c>
      <c r="K71">
        <v>85.925718906565606</v>
      </c>
      <c r="L71">
        <v>86.188286990385294</v>
      </c>
      <c r="M71">
        <v>83.192102507928098</v>
      </c>
    </row>
    <row r="72" spans="1:13" x14ac:dyDescent="0.25">
      <c r="A72" s="1">
        <v>40483</v>
      </c>
      <c r="B72">
        <v>85.654260490815105</v>
      </c>
      <c r="C72">
        <v>85.228928073503099</v>
      </c>
      <c r="D72">
        <v>86.131131029941798</v>
      </c>
      <c r="E72">
        <v>86.649822095764307</v>
      </c>
      <c r="F72">
        <v>86.819558420778307</v>
      </c>
      <c r="G72">
        <v>84.977896810392295</v>
      </c>
      <c r="H72">
        <v>84.455241921915302</v>
      </c>
      <c r="J72">
        <v>85.163996092426203</v>
      </c>
      <c r="K72">
        <v>86.186657642168996</v>
      </c>
      <c r="L72">
        <v>86.207935833611998</v>
      </c>
      <c r="M72">
        <v>83.909597468989901</v>
      </c>
    </row>
    <row r="73" spans="1:13" x14ac:dyDescent="0.25">
      <c r="A73" s="1">
        <v>40513</v>
      </c>
      <c r="B73">
        <v>86.094837996974903</v>
      </c>
      <c r="C73">
        <v>85.648033262231607</v>
      </c>
      <c r="D73">
        <v>86.597142283650101</v>
      </c>
      <c r="E73">
        <v>86.988623996082296</v>
      </c>
      <c r="F73">
        <v>87.285669855062693</v>
      </c>
      <c r="G73">
        <v>85.529693388305006</v>
      </c>
      <c r="H73">
        <v>85.222406426276905</v>
      </c>
      <c r="J73">
        <v>85.619631367835098</v>
      </c>
      <c r="K73">
        <v>86.527873401527799</v>
      </c>
      <c r="L73">
        <v>86.459348117682893</v>
      </c>
      <c r="M73">
        <v>84.379658977911902</v>
      </c>
    </row>
    <row r="74" spans="1:13" x14ac:dyDescent="0.25">
      <c r="A74" s="1">
        <v>40544</v>
      </c>
      <c r="B74">
        <v>86.679583536178797</v>
      </c>
      <c r="C74">
        <v>86.2061655816524</v>
      </c>
      <c r="D74">
        <v>87.213397375126306</v>
      </c>
      <c r="E74">
        <v>87.743927585813694</v>
      </c>
      <c r="F74">
        <v>87.617818877737506</v>
      </c>
      <c r="G74">
        <v>86.295003045185794</v>
      </c>
      <c r="H74">
        <v>85.714788636345901</v>
      </c>
      <c r="J74">
        <v>86.054364491449206</v>
      </c>
      <c r="K74">
        <v>87.192880966194593</v>
      </c>
      <c r="L74">
        <v>87.016707914411398</v>
      </c>
      <c r="M74">
        <v>85.186109617966906</v>
      </c>
    </row>
    <row r="75" spans="1:13" x14ac:dyDescent="0.25">
      <c r="A75" s="1">
        <v>40575</v>
      </c>
      <c r="B75">
        <v>87.1606213395727</v>
      </c>
      <c r="C75">
        <v>86.719282384624293</v>
      </c>
      <c r="D75">
        <v>87.656039080511505</v>
      </c>
      <c r="E75">
        <v>88.327834701179299</v>
      </c>
      <c r="F75">
        <v>88.008105161608398</v>
      </c>
      <c r="G75">
        <v>86.624284083947401</v>
      </c>
      <c r="H75">
        <v>85.878105075421104</v>
      </c>
      <c r="J75">
        <v>86.408943842479999</v>
      </c>
      <c r="K75">
        <v>87.680998275152206</v>
      </c>
      <c r="L75">
        <v>87.416821635678403</v>
      </c>
      <c r="M75">
        <v>86.231464663824596</v>
      </c>
    </row>
    <row r="76" spans="1:13" x14ac:dyDescent="0.25">
      <c r="A76" s="1">
        <v>40603</v>
      </c>
      <c r="B76">
        <v>87.454201232613002</v>
      </c>
      <c r="C76">
        <v>87.029511298021802</v>
      </c>
      <c r="D76">
        <v>87.929675998914007</v>
      </c>
      <c r="E76">
        <v>88.266912927533397</v>
      </c>
      <c r="F76">
        <v>88.597145467979004</v>
      </c>
      <c r="G76">
        <v>86.727893793287805</v>
      </c>
      <c r="H76">
        <v>86.750927303767995</v>
      </c>
      <c r="J76">
        <v>86.664729085066895</v>
      </c>
      <c r="K76">
        <v>87.947406224844599</v>
      </c>
      <c r="L76">
        <v>87.897736768844496</v>
      </c>
      <c r="M76">
        <v>86.659753159888993</v>
      </c>
    </row>
    <row r="77" spans="1:13" x14ac:dyDescent="0.25">
      <c r="A77" s="1">
        <v>40634</v>
      </c>
      <c r="B77">
        <v>88.171395936715399</v>
      </c>
      <c r="C77">
        <v>87.354651006885604</v>
      </c>
      <c r="D77">
        <v>89.113821134161896</v>
      </c>
      <c r="E77">
        <v>89.6085199770841</v>
      </c>
      <c r="F77">
        <v>89.787799111744903</v>
      </c>
      <c r="G77">
        <v>87.507845469257902</v>
      </c>
      <c r="H77">
        <v>87.638424772663001</v>
      </c>
      <c r="J77">
        <v>86.905588773424</v>
      </c>
      <c r="K77">
        <v>88.446753749548705</v>
      </c>
      <c r="L77">
        <v>88.070051839367196</v>
      </c>
      <c r="M77">
        <v>87.127017355836401</v>
      </c>
    </row>
    <row r="78" spans="1:13" x14ac:dyDescent="0.25">
      <c r="A78" s="1">
        <v>40664</v>
      </c>
      <c r="B78">
        <v>88.476337081723003</v>
      </c>
      <c r="C78">
        <v>87.761054736787599</v>
      </c>
      <c r="D78">
        <v>89.297745257058097</v>
      </c>
      <c r="E78">
        <v>89.584204039285893</v>
      </c>
      <c r="F78">
        <v>90.151902900641304</v>
      </c>
      <c r="G78">
        <v>88.017409627459401</v>
      </c>
      <c r="H78">
        <v>88.091092437526697</v>
      </c>
      <c r="J78">
        <v>87.590215659793301</v>
      </c>
      <c r="K78">
        <v>88.638982817685601</v>
      </c>
      <c r="L78">
        <v>88.310148604854007</v>
      </c>
      <c r="M78">
        <v>87.024872698862893</v>
      </c>
    </row>
    <row r="79" spans="1:13" x14ac:dyDescent="0.25">
      <c r="A79" s="1">
        <v>40695</v>
      </c>
      <c r="B79">
        <v>88.511525909962501</v>
      </c>
      <c r="C79">
        <v>87.824083420166602</v>
      </c>
      <c r="D79">
        <v>89.299745750776694</v>
      </c>
      <c r="E79">
        <v>90.133056589676201</v>
      </c>
      <c r="F79">
        <v>89.495944927718696</v>
      </c>
      <c r="G79">
        <v>88.443930415620301</v>
      </c>
      <c r="H79">
        <v>87.209774910075197</v>
      </c>
      <c r="J79">
        <v>87.524572002679605</v>
      </c>
      <c r="K79">
        <v>88.945186018981005</v>
      </c>
      <c r="L79">
        <v>88.345439628104899</v>
      </c>
      <c r="M79">
        <v>87.230416400681307</v>
      </c>
    </row>
    <row r="80" spans="1:13" x14ac:dyDescent="0.25">
      <c r="A80" s="1">
        <v>40725</v>
      </c>
      <c r="B80">
        <v>88.667148541033498</v>
      </c>
      <c r="C80">
        <v>88.066311112148597</v>
      </c>
      <c r="D80">
        <v>89.352108951157106</v>
      </c>
      <c r="E80">
        <v>89.954159390562495</v>
      </c>
      <c r="F80">
        <v>90.184422788849901</v>
      </c>
      <c r="G80">
        <v>88.327760568921704</v>
      </c>
      <c r="H80">
        <v>87.288878954129501</v>
      </c>
      <c r="J80">
        <v>87.898088405398298</v>
      </c>
      <c r="K80">
        <v>89.0430811567456</v>
      </c>
      <c r="L80">
        <v>88.370519041806304</v>
      </c>
      <c r="M80">
        <v>87.340949019798103</v>
      </c>
    </row>
    <row r="81" spans="1:13" x14ac:dyDescent="0.25">
      <c r="A81" s="1">
        <v>40756</v>
      </c>
      <c r="B81">
        <v>89.098048995397406</v>
      </c>
      <c r="C81">
        <v>88.598297026087295</v>
      </c>
      <c r="D81">
        <v>89.662397696403701</v>
      </c>
      <c r="E81">
        <v>90.141323256434106</v>
      </c>
      <c r="F81">
        <v>90.249770626200601</v>
      </c>
      <c r="G81">
        <v>88.519522130567694</v>
      </c>
      <c r="H81">
        <v>88.181960131991602</v>
      </c>
      <c r="J81">
        <v>88.320277303354402</v>
      </c>
      <c r="K81">
        <v>89.771518851353207</v>
      </c>
      <c r="L81">
        <v>88.594793821466496</v>
      </c>
      <c r="M81">
        <v>88.139483328524506</v>
      </c>
    </row>
    <row r="82" spans="1:13" x14ac:dyDescent="0.25">
      <c r="A82" s="1">
        <v>40787</v>
      </c>
      <c r="B82">
        <v>89.802691194167195</v>
      </c>
      <c r="C82">
        <v>89.523415042978499</v>
      </c>
      <c r="D82">
        <v>90.104058035325096</v>
      </c>
      <c r="E82">
        <v>90.680467642550795</v>
      </c>
      <c r="F82">
        <v>90.952621982433001</v>
      </c>
      <c r="G82">
        <v>87.985751426876504</v>
      </c>
      <c r="H82">
        <v>88.394179019706996</v>
      </c>
      <c r="J82">
        <v>89.208027166747698</v>
      </c>
      <c r="K82">
        <v>90.7433183634366</v>
      </c>
      <c r="L82">
        <v>89.420038373651707</v>
      </c>
      <c r="M82">
        <v>89.172040765794904</v>
      </c>
    </row>
    <row r="83" spans="1:13" x14ac:dyDescent="0.25">
      <c r="A83" s="1">
        <v>40817</v>
      </c>
      <c r="B83">
        <v>90.118939592923098</v>
      </c>
      <c r="C83">
        <v>89.957019495943499</v>
      </c>
      <c r="D83">
        <v>90.280345628557598</v>
      </c>
      <c r="E83">
        <v>90.532284512790696</v>
      </c>
      <c r="F83">
        <v>91.165466833274493</v>
      </c>
      <c r="G83">
        <v>88.332808692585203</v>
      </c>
      <c r="H83">
        <v>89.317177584470798</v>
      </c>
      <c r="J83">
        <v>89.814395236928704</v>
      </c>
      <c r="K83">
        <v>91.153925407627895</v>
      </c>
      <c r="L83">
        <v>90.121483513791105</v>
      </c>
      <c r="M83">
        <v>89.005428209437397</v>
      </c>
    </row>
    <row r="84" spans="1:13" x14ac:dyDescent="0.25">
      <c r="A84" s="1">
        <v>40848</v>
      </c>
      <c r="B84">
        <v>90.3923317149425</v>
      </c>
      <c r="C84">
        <v>89.872046483157007</v>
      </c>
      <c r="D84">
        <v>90.980696242060603</v>
      </c>
      <c r="E84">
        <v>91.147396531869404</v>
      </c>
      <c r="F84">
        <v>91.717693230399703</v>
      </c>
      <c r="G84">
        <v>89.349659087288202</v>
      </c>
      <c r="H84">
        <v>90.2897639322304</v>
      </c>
      <c r="J84">
        <v>89.607791578925799</v>
      </c>
      <c r="K84">
        <v>91.332247034558407</v>
      </c>
      <c r="L84">
        <v>89.896159920236499</v>
      </c>
      <c r="M84">
        <v>89.076490927371694</v>
      </c>
    </row>
    <row r="85" spans="1:13" x14ac:dyDescent="0.25">
      <c r="A85" s="1">
        <v>40878</v>
      </c>
      <c r="B85">
        <v>90.752036903797503</v>
      </c>
      <c r="C85">
        <v>90.427087632107202</v>
      </c>
      <c r="D85">
        <v>91.107498830896304</v>
      </c>
      <c r="E85">
        <v>91.063462307272104</v>
      </c>
      <c r="F85">
        <v>91.966928285572195</v>
      </c>
      <c r="G85">
        <v>90.0085478853442</v>
      </c>
      <c r="H85">
        <v>90.689889403716606</v>
      </c>
      <c r="J85">
        <v>90.196838242324503</v>
      </c>
      <c r="K85">
        <v>91.738926998146695</v>
      </c>
      <c r="L85">
        <v>90.206417257005796</v>
      </c>
      <c r="M85">
        <v>89.795528523697499</v>
      </c>
    </row>
    <row r="86" spans="1:13" x14ac:dyDescent="0.25">
      <c r="A86" s="1">
        <v>40909</v>
      </c>
      <c r="B86">
        <v>91.266739085519802</v>
      </c>
      <c r="C86">
        <v>91.248021545358199</v>
      </c>
      <c r="D86">
        <v>91.257092606984699</v>
      </c>
      <c r="E86">
        <v>91.077430594537802</v>
      </c>
      <c r="F86">
        <v>92.186292899954694</v>
      </c>
      <c r="G86">
        <v>91.043914463750497</v>
      </c>
      <c r="H86">
        <v>90.873304649393901</v>
      </c>
      <c r="J86">
        <v>91.133530901836096</v>
      </c>
      <c r="K86">
        <v>92.1933701644613</v>
      </c>
      <c r="L86">
        <v>91.031229885967605</v>
      </c>
      <c r="M86">
        <v>90.642753296208298</v>
      </c>
    </row>
    <row r="87" spans="1:13" x14ac:dyDescent="0.25">
      <c r="A87" s="1">
        <v>40940</v>
      </c>
      <c r="B87">
        <v>91.976326128986202</v>
      </c>
      <c r="C87">
        <v>91.693158283992801</v>
      </c>
      <c r="D87">
        <v>92.281569627929898</v>
      </c>
      <c r="E87">
        <v>91.917726498672096</v>
      </c>
      <c r="F87">
        <v>93.547548891605004</v>
      </c>
      <c r="G87">
        <v>91.678259092087799</v>
      </c>
      <c r="H87">
        <v>92.153114827338101</v>
      </c>
      <c r="J87">
        <v>91.546557747896699</v>
      </c>
      <c r="K87">
        <v>92.340483719603398</v>
      </c>
      <c r="L87">
        <v>91.806904456525103</v>
      </c>
      <c r="M87">
        <v>91.316419424645105</v>
      </c>
    </row>
    <row r="88" spans="1:13" x14ac:dyDescent="0.25">
      <c r="A88" s="1">
        <v>40969</v>
      </c>
      <c r="B88">
        <v>92.804957279355193</v>
      </c>
      <c r="C88">
        <v>92.404655890329295</v>
      </c>
      <c r="D88">
        <v>93.249495612204996</v>
      </c>
      <c r="E88">
        <v>93.010690247148702</v>
      </c>
      <c r="F88">
        <v>94.757631737798107</v>
      </c>
      <c r="G88">
        <v>91.7908476901341</v>
      </c>
      <c r="H88">
        <v>92.806091945577705</v>
      </c>
      <c r="J88">
        <v>92.0772222647837</v>
      </c>
      <c r="K88">
        <v>93.0598949881349</v>
      </c>
      <c r="L88">
        <v>92.282471639406594</v>
      </c>
      <c r="M88">
        <v>92.649695194846004</v>
      </c>
    </row>
    <row r="89" spans="1:13" x14ac:dyDescent="0.25">
      <c r="A89" s="1">
        <v>41000</v>
      </c>
      <c r="B89">
        <v>92.951585395099897</v>
      </c>
      <c r="C89">
        <v>92.208945344950607</v>
      </c>
      <c r="D89">
        <v>93.804028275790401</v>
      </c>
      <c r="E89">
        <v>93.507835659788398</v>
      </c>
      <c r="F89">
        <v>94.938304951574096</v>
      </c>
      <c r="G89">
        <v>92.498220867746099</v>
      </c>
      <c r="H89">
        <v>93.823936089302293</v>
      </c>
      <c r="J89">
        <v>92.088006324154193</v>
      </c>
      <c r="K89">
        <v>92.911977838859201</v>
      </c>
      <c r="L89">
        <v>91.9292772203856</v>
      </c>
      <c r="M89">
        <v>91.889574853865895</v>
      </c>
    </row>
    <row r="90" spans="1:13" x14ac:dyDescent="0.25">
      <c r="A90" s="1">
        <v>41030</v>
      </c>
      <c r="B90">
        <v>92.771207068899301</v>
      </c>
      <c r="C90">
        <v>91.998388087881594</v>
      </c>
      <c r="D90">
        <v>93.659676528011303</v>
      </c>
      <c r="E90">
        <v>93.455087607835594</v>
      </c>
      <c r="F90">
        <v>94.623143209812199</v>
      </c>
      <c r="G90">
        <v>92.799432031128404</v>
      </c>
      <c r="H90">
        <v>93.485950194029499</v>
      </c>
      <c r="J90">
        <v>91.940061070044905</v>
      </c>
      <c r="K90">
        <v>92.755688305962096</v>
      </c>
      <c r="L90">
        <v>91.665425041601694</v>
      </c>
      <c r="M90">
        <v>91.471496883750802</v>
      </c>
    </row>
    <row r="91" spans="1:13" x14ac:dyDescent="0.25">
      <c r="A91" s="1">
        <v>41061</v>
      </c>
      <c r="B91">
        <v>92.933644670631097</v>
      </c>
      <c r="C91">
        <v>92.359661964207106</v>
      </c>
      <c r="D91">
        <v>93.585109359612602</v>
      </c>
      <c r="E91">
        <v>93.711262710914397</v>
      </c>
      <c r="F91">
        <v>94.794177305109201</v>
      </c>
      <c r="G91">
        <v>91.9784935287731</v>
      </c>
      <c r="H91">
        <v>92.537300318369304</v>
      </c>
      <c r="J91">
        <v>92.245052114445201</v>
      </c>
      <c r="K91">
        <v>92.576811033560702</v>
      </c>
      <c r="L91">
        <v>91.647001188853196</v>
      </c>
      <c r="M91">
        <v>92.705818714211205</v>
      </c>
    </row>
    <row r="92" spans="1:13" x14ac:dyDescent="0.25">
      <c r="A92" s="1">
        <v>41091</v>
      </c>
      <c r="B92">
        <v>93.176412624234402</v>
      </c>
      <c r="C92">
        <v>92.660199618693696</v>
      </c>
      <c r="D92">
        <v>93.758949705649499</v>
      </c>
      <c r="E92">
        <v>94.067800718528602</v>
      </c>
      <c r="F92">
        <v>93.889343025344203</v>
      </c>
      <c r="G92">
        <v>92.411169696053506</v>
      </c>
      <c r="H92">
        <v>93.208534984735905</v>
      </c>
      <c r="J92">
        <v>92.692159877216099</v>
      </c>
      <c r="K92">
        <v>92.900071084278395</v>
      </c>
      <c r="L92">
        <v>91.954045269818906</v>
      </c>
      <c r="M92">
        <v>92.560211591306498</v>
      </c>
    </row>
    <row r="93" spans="1:13" x14ac:dyDescent="0.25">
      <c r="A93" s="1">
        <v>41122</v>
      </c>
      <c r="B93">
        <v>93.445382388537794</v>
      </c>
      <c r="C93">
        <v>92.941018990077495</v>
      </c>
      <c r="D93">
        <v>94.013704444305205</v>
      </c>
      <c r="E93">
        <v>94.075281308229506</v>
      </c>
      <c r="F93">
        <v>94.492267271378097</v>
      </c>
      <c r="G93">
        <v>92.840034029129995</v>
      </c>
      <c r="H93">
        <v>93.712459028425698</v>
      </c>
      <c r="J93">
        <v>93.090114746196306</v>
      </c>
      <c r="K93">
        <v>93.378553761475004</v>
      </c>
      <c r="L93">
        <v>92.1680490223074</v>
      </c>
      <c r="M93">
        <v>92.341725842289193</v>
      </c>
    </row>
    <row r="94" spans="1:13" x14ac:dyDescent="0.25">
      <c r="A94" s="1">
        <v>41153</v>
      </c>
      <c r="B94">
        <v>94.493759076456101</v>
      </c>
      <c r="C94">
        <v>94.108676158725999</v>
      </c>
      <c r="D94">
        <v>94.919570727184094</v>
      </c>
      <c r="E94">
        <v>94.742305542988106</v>
      </c>
      <c r="F94">
        <v>96.008085388710398</v>
      </c>
      <c r="G94">
        <v>93.943319301069195</v>
      </c>
      <c r="H94">
        <v>94.587953123380501</v>
      </c>
      <c r="J94">
        <v>94.696373269879999</v>
      </c>
      <c r="K94">
        <v>93.791383649418705</v>
      </c>
      <c r="L94">
        <v>93.511525995063096</v>
      </c>
      <c r="M94">
        <v>92.9105186807612</v>
      </c>
    </row>
    <row r="95" spans="1:13" x14ac:dyDescent="0.25">
      <c r="A95" s="1">
        <v>41183</v>
      </c>
      <c r="B95">
        <v>94.575030930792906</v>
      </c>
      <c r="C95">
        <v>94.350781828083399</v>
      </c>
      <c r="D95">
        <v>94.809152747533304</v>
      </c>
      <c r="E95">
        <v>94.574625784097904</v>
      </c>
      <c r="F95">
        <v>95.452690374440195</v>
      </c>
      <c r="G95">
        <v>94.365803209411595</v>
      </c>
      <c r="H95">
        <v>94.903462832985397</v>
      </c>
      <c r="J95">
        <v>94.457688150583195</v>
      </c>
      <c r="K95">
        <v>94.270654444597099</v>
      </c>
      <c r="L95">
        <v>93.521133445873602</v>
      </c>
      <c r="M95">
        <v>94.407684343385696</v>
      </c>
    </row>
    <row r="96" spans="1:13" x14ac:dyDescent="0.25">
      <c r="A96" s="1">
        <v>41214</v>
      </c>
      <c r="B96">
        <v>94.706817778577999</v>
      </c>
      <c r="C96">
        <v>94.309515672077495</v>
      </c>
      <c r="D96">
        <v>95.147116121737199</v>
      </c>
      <c r="E96">
        <v>94.650859692365898</v>
      </c>
      <c r="F96">
        <v>95.994914244811895</v>
      </c>
      <c r="G96">
        <v>93.726714847909605</v>
      </c>
      <c r="H96">
        <v>95.985143191526305</v>
      </c>
      <c r="J96">
        <v>94.388416949943505</v>
      </c>
      <c r="K96">
        <v>94.302071884526796</v>
      </c>
      <c r="L96">
        <v>93.732034061051195</v>
      </c>
      <c r="M96">
        <v>94.255676616228499</v>
      </c>
    </row>
    <row r="97" spans="1:13" x14ac:dyDescent="0.25">
      <c r="A97" s="1">
        <v>41244</v>
      </c>
      <c r="B97">
        <v>94.530869689745202</v>
      </c>
      <c r="C97">
        <v>94.048885077395596</v>
      </c>
      <c r="D97">
        <v>95.072143521617804</v>
      </c>
      <c r="E97">
        <v>94.630680491102098</v>
      </c>
      <c r="F97">
        <v>95.866075247498102</v>
      </c>
      <c r="G97">
        <v>93.4763247021436</v>
      </c>
      <c r="H97">
        <v>95.870557478981695</v>
      </c>
      <c r="J97">
        <v>94.018200074767194</v>
      </c>
      <c r="K97">
        <v>93.839736744494701</v>
      </c>
      <c r="L97">
        <v>93.747391171562697</v>
      </c>
      <c r="M97">
        <v>94.377536208680297</v>
      </c>
    </row>
    <row r="98" spans="1:13" x14ac:dyDescent="0.25">
      <c r="A98" s="1">
        <v>41275</v>
      </c>
      <c r="B98">
        <v>95.0061925803642</v>
      </c>
      <c r="C98">
        <v>94.474443950173793</v>
      </c>
      <c r="D98">
        <v>95.606602462945801</v>
      </c>
      <c r="E98">
        <v>95.185758779071705</v>
      </c>
      <c r="F98">
        <v>96.571044274355401</v>
      </c>
      <c r="G98">
        <v>94.181919523242897</v>
      </c>
      <c r="H98">
        <v>96.141000136690195</v>
      </c>
      <c r="J98">
        <v>94.654004996275106</v>
      </c>
      <c r="K98">
        <v>94.219610509785596</v>
      </c>
      <c r="L98">
        <v>93.821211192245002</v>
      </c>
      <c r="M98">
        <v>94.411355589192397</v>
      </c>
    </row>
    <row r="99" spans="1:13" x14ac:dyDescent="0.25">
      <c r="A99" s="1">
        <v>41306</v>
      </c>
      <c r="B99">
        <v>95.181663578374298</v>
      </c>
      <c r="C99">
        <v>94.596944833905397</v>
      </c>
      <c r="D99">
        <v>95.845135107040704</v>
      </c>
      <c r="E99">
        <v>95.505350277095502</v>
      </c>
      <c r="F99">
        <v>97.001825131943704</v>
      </c>
      <c r="G99">
        <v>94.677635353464296</v>
      </c>
      <c r="H99">
        <v>95.916333124874896</v>
      </c>
      <c r="J99">
        <v>94.697124778098896</v>
      </c>
      <c r="K99">
        <v>94.705248184728205</v>
      </c>
      <c r="L99">
        <v>94.013614775003404</v>
      </c>
      <c r="M99">
        <v>94.370496798484297</v>
      </c>
    </row>
    <row r="100" spans="1:13" x14ac:dyDescent="0.25">
      <c r="A100" s="1">
        <v>41334</v>
      </c>
      <c r="B100">
        <v>95.598925209816699</v>
      </c>
      <c r="C100">
        <v>95.113712394914998</v>
      </c>
      <c r="D100">
        <v>96.1436720881143</v>
      </c>
      <c r="E100">
        <v>95.527420779363894</v>
      </c>
      <c r="F100">
        <v>97.704970509742196</v>
      </c>
      <c r="G100">
        <v>95.353050639787199</v>
      </c>
      <c r="H100">
        <v>96.428169798831306</v>
      </c>
      <c r="J100">
        <v>95.092221637809502</v>
      </c>
      <c r="K100">
        <v>95.039536335279905</v>
      </c>
      <c r="L100">
        <v>94.764931401201494</v>
      </c>
      <c r="M100">
        <v>95.304212822541899</v>
      </c>
    </row>
    <row r="101" spans="1:13" x14ac:dyDescent="0.25">
      <c r="A101" s="1">
        <v>41365</v>
      </c>
      <c r="B101">
        <v>95.770053431144902</v>
      </c>
      <c r="C101">
        <v>95.0313321059826</v>
      </c>
      <c r="D101">
        <v>96.616839750852805</v>
      </c>
      <c r="E101">
        <v>96.2926554076667</v>
      </c>
      <c r="F101">
        <v>98.224797249195902</v>
      </c>
      <c r="G101">
        <v>95.873260014167101</v>
      </c>
      <c r="H101">
        <v>96.097006038987701</v>
      </c>
      <c r="J101">
        <v>95.029127702174407</v>
      </c>
      <c r="K101">
        <v>95.069229428911697</v>
      </c>
      <c r="L101">
        <v>94.768536576891805</v>
      </c>
      <c r="M101">
        <v>95.015463263658404</v>
      </c>
    </row>
    <row r="102" spans="1:13" x14ac:dyDescent="0.25">
      <c r="A102" s="1">
        <v>41395</v>
      </c>
      <c r="B102">
        <v>95.561372103108397</v>
      </c>
      <c r="C102">
        <v>94.986047612327397</v>
      </c>
      <c r="D102">
        <v>96.213515816841607</v>
      </c>
      <c r="E102">
        <v>95.785834505162498</v>
      </c>
      <c r="F102">
        <v>97.642221938979802</v>
      </c>
      <c r="G102">
        <v>95.863280066196197</v>
      </c>
      <c r="H102">
        <v>96.021274143263497</v>
      </c>
      <c r="J102">
        <v>95.002046869753798</v>
      </c>
      <c r="K102">
        <v>95.350462459119598</v>
      </c>
      <c r="L102">
        <v>94.952610571424302</v>
      </c>
      <c r="M102">
        <v>94.487672094133003</v>
      </c>
    </row>
    <row r="103" spans="1:13" x14ac:dyDescent="0.25">
      <c r="A103" s="1">
        <v>41426</v>
      </c>
      <c r="B103">
        <v>95.423008922995393</v>
      </c>
      <c r="C103">
        <v>94.978594999213797</v>
      </c>
      <c r="D103">
        <v>95.919198434140696</v>
      </c>
      <c r="E103">
        <v>95.7136243210213</v>
      </c>
      <c r="F103">
        <v>96.923873382909406</v>
      </c>
      <c r="G103">
        <v>95.409941208786407</v>
      </c>
      <c r="H103">
        <v>95.610792208114503</v>
      </c>
      <c r="J103">
        <v>94.977838960454804</v>
      </c>
      <c r="K103">
        <v>95.164042445362298</v>
      </c>
      <c r="L103">
        <v>95.029062317560701</v>
      </c>
      <c r="M103">
        <v>94.664825446806503</v>
      </c>
    </row>
    <row r="104" spans="1:13" x14ac:dyDescent="0.25">
      <c r="A104" s="1">
        <v>41456</v>
      </c>
      <c r="B104">
        <v>95.405202670453207</v>
      </c>
      <c r="C104">
        <v>95.115820060746003</v>
      </c>
      <c r="D104">
        <v>95.716651720102107</v>
      </c>
      <c r="E104">
        <v>95.416890400632099</v>
      </c>
      <c r="F104">
        <v>96.635751859969204</v>
      </c>
      <c r="G104">
        <v>95.793269370658805</v>
      </c>
      <c r="H104">
        <v>95.568626287828195</v>
      </c>
      <c r="J104">
        <v>95.371319308645397</v>
      </c>
      <c r="K104">
        <v>94.896915573025893</v>
      </c>
      <c r="L104">
        <v>95.3521023076148</v>
      </c>
      <c r="M104">
        <v>94.377297060862702</v>
      </c>
    </row>
    <row r="105" spans="1:13" x14ac:dyDescent="0.25">
      <c r="A105" s="1">
        <v>41487</v>
      </c>
      <c r="B105">
        <v>95.570817462635006</v>
      </c>
      <c r="C105">
        <v>95.191042462623898</v>
      </c>
      <c r="D105">
        <v>95.989926740364496</v>
      </c>
      <c r="E105">
        <v>95.705194408674501</v>
      </c>
      <c r="F105">
        <v>96.5569322605471</v>
      </c>
      <c r="G105">
        <v>96.053387350522001</v>
      </c>
      <c r="H105">
        <v>96.145322224956303</v>
      </c>
      <c r="J105">
        <v>95.311916208452402</v>
      </c>
      <c r="K105">
        <v>95.149769217019994</v>
      </c>
      <c r="L105">
        <v>94.962820102535403</v>
      </c>
      <c r="M105">
        <v>94.883639107051593</v>
      </c>
    </row>
    <row r="106" spans="1:13" x14ac:dyDescent="0.25">
      <c r="A106" s="1">
        <v>41518</v>
      </c>
      <c r="B106">
        <v>96.113545689692899</v>
      </c>
      <c r="C106">
        <v>96.015641423168304</v>
      </c>
      <c r="D106">
        <v>96.196567103823696</v>
      </c>
      <c r="E106">
        <v>95.884977926504604</v>
      </c>
      <c r="F106">
        <v>96.721024981749196</v>
      </c>
      <c r="G106">
        <v>96.422643677409695</v>
      </c>
      <c r="H106">
        <v>96.416329799800806</v>
      </c>
      <c r="J106">
        <v>95.955418179895403</v>
      </c>
      <c r="K106">
        <v>96.2233197592642</v>
      </c>
      <c r="L106">
        <v>96.548520674530906</v>
      </c>
      <c r="M106">
        <v>95.620708961021506</v>
      </c>
    </row>
    <row r="107" spans="1:13" x14ac:dyDescent="0.25">
      <c r="A107" s="1">
        <v>41548</v>
      </c>
      <c r="B107">
        <v>96.505950502593194</v>
      </c>
      <c r="C107">
        <v>96.475246072725497</v>
      </c>
      <c r="D107">
        <v>96.508754280527498</v>
      </c>
      <c r="E107">
        <v>96.354980108144503</v>
      </c>
      <c r="F107">
        <v>96.5892966070612</v>
      </c>
      <c r="G107">
        <v>96.887172771541302</v>
      </c>
      <c r="H107">
        <v>96.709310118717099</v>
      </c>
      <c r="J107">
        <v>96.479116988638793</v>
      </c>
      <c r="K107">
        <v>96.4250290425163</v>
      </c>
      <c r="L107">
        <v>97.1990088916844</v>
      </c>
      <c r="M107">
        <v>96.059582783524803</v>
      </c>
    </row>
    <row r="108" spans="1:13" x14ac:dyDescent="0.25">
      <c r="A108" s="1">
        <v>41579</v>
      </c>
      <c r="B108">
        <v>96.886365983082399</v>
      </c>
      <c r="C108">
        <v>96.7162404395024</v>
      </c>
      <c r="D108">
        <v>97.055181015512503</v>
      </c>
      <c r="E108">
        <v>96.928544814941603</v>
      </c>
      <c r="F108">
        <v>96.851587088127204</v>
      </c>
      <c r="G108">
        <v>96.906096534206</v>
      </c>
      <c r="H108">
        <v>97.605606721625094</v>
      </c>
      <c r="J108">
        <v>96.778579767932399</v>
      </c>
      <c r="K108">
        <v>96.780266951768994</v>
      </c>
      <c r="L108">
        <v>97.426369852269204</v>
      </c>
      <c r="M108">
        <v>96.026540039213899</v>
      </c>
    </row>
    <row r="109" spans="1:13" x14ac:dyDescent="0.25">
      <c r="A109" s="1">
        <v>41609</v>
      </c>
      <c r="B109">
        <v>97.083526477855102</v>
      </c>
      <c r="C109">
        <v>96.766050776344599</v>
      </c>
      <c r="D109">
        <v>97.427865751882095</v>
      </c>
      <c r="E109">
        <v>97.417307298488694</v>
      </c>
      <c r="F109">
        <v>96.959804898666803</v>
      </c>
      <c r="G109">
        <v>96.970694696634595</v>
      </c>
      <c r="H109">
        <v>98.021114321842802</v>
      </c>
      <c r="J109">
        <v>96.828952099105294</v>
      </c>
      <c r="K109">
        <v>96.887373658354903</v>
      </c>
      <c r="L109">
        <v>96.990374458659204</v>
      </c>
      <c r="M109">
        <v>96.248452197650707</v>
      </c>
    </row>
    <row r="110" spans="1:13" x14ac:dyDescent="0.25">
      <c r="A110" s="1">
        <v>41640</v>
      </c>
      <c r="B110">
        <v>97.784187629529498</v>
      </c>
      <c r="C110">
        <v>97.382234932225899</v>
      </c>
      <c r="D110">
        <v>98.228950598302902</v>
      </c>
      <c r="E110">
        <v>97.992591151136907</v>
      </c>
      <c r="F110">
        <v>97.885118176437103</v>
      </c>
      <c r="G110">
        <v>97.799161670069907</v>
      </c>
      <c r="H110">
        <v>99.272251170725994</v>
      </c>
      <c r="J110">
        <v>97.691725045685601</v>
      </c>
      <c r="K110">
        <v>97.345645176648901</v>
      </c>
      <c r="L110">
        <v>97.644577938896603</v>
      </c>
      <c r="M110">
        <v>96.294313904617695</v>
      </c>
    </row>
    <row r="111" spans="1:13" x14ac:dyDescent="0.25">
      <c r="A111" s="1">
        <v>41671</v>
      </c>
      <c r="B111">
        <v>97.891655956777498</v>
      </c>
      <c r="C111">
        <v>97.555483492162793</v>
      </c>
      <c r="D111">
        <v>98.257992747384904</v>
      </c>
      <c r="E111">
        <v>97.6443814312304</v>
      </c>
      <c r="F111">
        <v>97.997586869844795</v>
      </c>
      <c r="G111">
        <v>98.439448381476595</v>
      </c>
      <c r="H111">
        <v>100.015681023184</v>
      </c>
      <c r="J111">
        <v>97.745496247822004</v>
      </c>
      <c r="K111">
        <v>97.419985981186798</v>
      </c>
      <c r="L111">
        <v>97.858689204991094</v>
      </c>
      <c r="M111">
        <v>96.8880715326748</v>
      </c>
    </row>
    <row r="112" spans="1:13" x14ac:dyDescent="0.25">
      <c r="A112" s="1">
        <v>41699</v>
      </c>
      <c r="B112">
        <v>98.573258035589305</v>
      </c>
      <c r="C112">
        <v>98.0192476635861</v>
      </c>
      <c r="D112">
        <v>99.198947846159598</v>
      </c>
      <c r="E112">
        <v>98.832417045154102</v>
      </c>
      <c r="F112">
        <v>98.871102707959096</v>
      </c>
      <c r="G112">
        <v>98.9311496005202</v>
      </c>
      <c r="H112">
        <v>100.514515691574</v>
      </c>
      <c r="J112">
        <v>98.219094580542603</v>
      </c>
      <c r="K112">
        <v>97.918947205027905</v>
      </c>
      <c r="L112">
        <v>98.0829921203173</v>
      </c>
      <c r="M112">
        <v>97.401902597218694</v>
      </c>
    </row>
    <row r="113" spans="1:13" x14ac:dyDescent="0.25">
      <c r="A113" s="1">
        <v>41730</v>
      </c>
      <c r="B113">
        <v>98.864518255016506</v>
      </c>
      <c r="C113">
        <v>98.381114314157898</v>
      </c>
      <c r="D113">
        <v>99.405966291124798</v>
      </c>
      <c r="E113">
        <v>98.866746066072693</v>
      </c>
      <c r="F113">
        <v>99.624150977122795</v>
      </c>
      <c r="G113">
        <v>98.861424654572005</v>
      </c>
      <c r="H113">
        <v>100.71512764259801</v>
      </c>
      <c r="J113">
        <v>98.491462681831095</v>
      </c>
      <c r="K113">
        <v>98.162536869396106</v>
      </c>
      <c r="L113">
        <v>98.701804859004199</v>
      </c>
      <c r="M113">
        <v>98.014771426593995</v>
      </c>
    </row>
    <row r="114" spans="1:13" x14ac:dyDescent="0.25">
      <c r="A114" s="1">
        <v>41760</v>
      </c>
      <c r="B114">
        <v>98.823861206643898</v>
      </c>
      <c r="C114">
        <v>98.195356541487001</v>
      </c>
      <c r="D114">
        <v>99.538236151920302</v>
      </c>
      <c r="E114">
        <v>99.274178642373499</v>
      </c>
      <c r="F114">
        <v>99.6588910178546</v>
      </c>
      <c r="G114">
        <v>98.776585041635499</v>
      </c>
      <c r="H114">
        <v>100.298091136054</v>
      </c>
      <c r="J114">
        <v>98.283349567917895</v>
      </c>
      <c r="K114">
        <v>98.344802338884193</v>
      </c>
      <c r="L114">
        <v>98.521146064970196</v>
      </c>
      <c r="M114">
        <v>97.528367126011801</v>
      </c>
    </row>
    <row r="115" spans="1:13" x14ac:dyDescent="0.25">
      <c r="A115" s="1">
        <v>41791</v>
      </c>
      <c r="B115">
        <v>98.926698465028906</v>
      </c>
      <c r="C115">
        <v>98.508684108900795</v>
      </c>
      <c r="D115">
        <v>99.390201702724696</v>
      </c>
      <c r="E115">
        <v>99.373660449446902</v>
      </c>
      <c r="F115">
        <v>98.8215116082023</v>
      </c>
      <c r="G115">
        <v>98.655304783338494</v>
      </c>
      <c r="H115">
        <v>100.172248354397</v>
      </c>
      <c r="J115">
        <v>98.789112100709602</v>
      </c>
      <c r="K115">
        <v>98.135690477128307</v>
      </c>
      <c r="L115">
        <v>98.709424182522994</v>
      </c>
      <c r="M115">
        <v>97.863407593702803</v>
      </c>
    </row>
    <row r="116" spans="1:13" x14ac:dyDescent="0.25">
      <c r="A116" s="1">
        <v>41821</v>
      </c>
      <c r="B116">
        <v>99.325736623603902</v>
      </c>
      <c r="C116">
        <v>98.923871039132493</v>
      </c>
      <c r="D116">
        <v>99.769856099734895</v>
      </c>
      <c r="E116">
        <v>99.879534219245798</v>
      </c>
      <c r="F116">
        <v>98.873422379669506</v>
      </c>
      <c r="G116">
        <v>98.741827681955499</v>
      </c>
      <c r="H116">
        <v>100.625438558363</v>
      </c>
      <c r="J116">
        <v>99.357982861000494</v>
      </c>
      <c r="K116">
        <v>98.367914472038706</v>
      </c>
      <c r="L116">
        <v>99.175693158127004</v>
      </c>
      <c r="M116">
        <v>97.993422235937004</v>
      </c>
    </row>
    <row r="117" spans="1:13" x14ac:dyDescent="0.25">
      <c r="A117" s="1">
        <v>41852</v>
      </c>
      <c r="B117">
        <v>99.533750289456293</v>
      </c>
      <c r="C117">
        <v>99.217016903301896</v>
      </c>
      <c r="D117">
        <v>99.876347164453094</v>
      </c>
      <c r="E117">
        <v>99.910648766095306</v>
      </c>
      <c r="F117">
        <v>99.091417033615699</v>
      </c>
      <c r="G117">
        <v>99.140348741073694</v>
      </c>
      <c r="H117">
        <v>100.736424908812</v>
      </c>
      <c r="J117">
        <v>99.508200547516594</v>
      </c>
      <c r="K117">
        <v>98.479447766069796</v>
      </c>
      <c r="L117">
        <v>99.239800364605202</v>
      </c>
      <c r="M117">
        <v>98.983568762788806</v>
      </c>
    </row>
    <row r="118" spans="1:13" x14ac:dyDescent="0.25">
      <c r="A118" s="1">
        <v>41883</v>
      </c>
      <c r="B118">
        <v>100.143617696456</v>
      </c>
      <c r="C118">
        <v>99.945998476061106</v>
      </c>
      <c r="D118">
        <v>100.34405587772901</v>
      </c>
      <c r="E118">
        <v>100.72760838979301</v>
      </c>
      <c r="F118">
        <v>99.572609627729307</v>
      </c>
      <c r="G118">
        <v>99.395145543244695</v>
      </c>
      <c r="H118">
        <v>100.357651292521</v>
      </c>
      <c r="J118">
        <v>100.28389063925</v>
      </c>
      <c r="K118">
        <v>98.975924710167405</v>
      </c>
      <c r="L118">
        <v>99.801814252892797</v>
      </c>
      <c r="M118">
        <v>99.885934318742798</v>
      </c>
    </row>
    <row r="119" spans="1:13" x14ac:dyDescent="0.25">
      <c r="A119" s="1">
        <v>41913</v>
      </c>
      <c r="B119">
        <v>100.346706871878</v>
      </c>
      <c r="C119">
        <v>100.272944309737</v>
      </c>
      <c r="D119">
        <v>100.399477266665</v>
      </c>
      <c r="E119">
        <v>100.68082346616301</v>
      </c>
      <c r="F119">
        <v>99.604753974200904</v>
      </c>
      <c r="G119">
        <v>99.730851604484599</v>
      </c>
      <c r="H119">
        <v>100.618863370461</v>
      </c>
      <c r="J119">
        <v>100.436123632405</v>
      </c>
      <c r="K119">
        <v>99.397851383582093</v>
      </c>
      <c r="L119">
        <v>99.915845267374607</v>
      </c>
      <c r="M119">
        <v>100.72086940000599</v>
      </c>
    </row>
    <row r="120" spans="1:13" x14ac:dyDescent="0.25">
      <c r="A120" s="1">
        <v>41944</v>
      </c>
      <c r="B120">
        <v>100.528566297396</v>
      </c>
      <c r="C120">
        <v>100.480439944357</v>
      </c>
      <c r="D120">
        <v>100.550723036002</v>
      </c>
      <c r="E120">
        <v>100.548433848081</v>
      </c>
      <c r="F120">
        <v>100.210916287467</v>
      </c>
      <c r="G120">
        <v>100.180891110948</v>
      </c>
      <c r="H120">
        <v>100.975085266945</v>
      </c>
      <c r="J120">
        <v>100.58473245918501</v>
      </c>
      <c r="K120">
        <v>100.20550519416</v>
      </c>
      <c r="L120">
        <v>100.323992290867</v>
      </c>
      <c r="M120">
        <v>100.410675512176</v>
      </c>
    </row>
    <row r="121" spans="1:13" x14ac:dyDescent="0.25">
      <c r="A121" s="1">
        <v>41974</v>
      </c>
      <c r="B121">
        <v>100.64392618773699</v>
      </c>
      <c r="C121">
        <v>100.52129429617</v>
      </c>
      <c r="D121">
        <v>100.754828809317</v>
      </c>
      <c r="E121">
        <v>100.732427502587</v>
      </c>
      <c r="F121">
        <v>100.808077784248</v>
      </c>
      <c r="G121">
        <v>100.59562228830301</v>
      </c>
      <c r="H121">
        <v>100.79457917065901</v>
      </c>
      <c r="J121">
        <v>100.598491442376</v>
      </c>
      <c r="K121">
        <v>100.08365215874601</v>
      </c>
      <c r="L121">
        <v>100.456958771502</v>
      </c>
      <c r="M121">
        <v>100.645825359719</v>
      </c>
    </row>
    <row r="122" spans="1:13" x14ac:dyDescent="0.25">
      <c r="A122" s="1">
        <v>42005</v>
      </c>
      <c r="B122">
        <v>101.238093184276</v>
      </c>
      <c r="C122">
        <v>101.087558875458</v>
      </c>
      <c r="D122">
        <v>101.3742294629</v>
      </c>
      <c r="E122">
        <v>101.256502614737</v>
      </c>
      <c r="F122">
        <v>101.48823997191801</v>
      </c>
      <c r="G122">
        <v>100.973571089556</v>
      </c>
      <c r="H122">
        <v>101.939750981277</v>
      </c>
      <c r="I122">
        <v>101.186048417606</v>
      </c>
      <c r="J122">
        <v>101.00372951927601</v>
      </c>
      <c r="K122">
        <v>101.20829035090701</v>
      </c>
      <c r="L122">
        <v>101.503130290946</v>
      </c>
      <c r="M122">
        <v>101.030194926463</v>
      </c>
    </row>
    <row r="123" spans="1:13" x14ac:dyDescent="0.25">
      <c r="A123" s="1">
        <v>42036</v>
      </c>
      <c r="B123">
        <v>101.858065813691</v>
      </c>
      <c r="C123">
        <v>101.687071152307</v>
      </c>
      <c r="D123">
        <v>102.012705490507</v>
      </c>
      <c r="E123">
        <v>101.683606272993</v>
      </c>
      <c r="F123">
        <v>102.124602485803</v>
      </c>
      <c r="G123">
        <v>101.773204383851</v>
      </c>
      <c r="H123">
        <v>102.68711876818701</v>
      </c>
      <c r="I123">
        <v>103.09275387326601</v>
      </c>
      <c r="J123">
        <v>101.66005752578999</v>
      </c>
      <c r="K123">
        <v>101.741362190975</v>
      </c>
      <c r="L123">
        <v>101.94150867883801</v>
      </c>
      <c r="M123">
        <v>101.563710916118</v>
      </c>
    </row>
    <row r="124" spans="1:13" x14ac:dyDescent="0.25">
      <c r="A124" s="1">
        <v>42064</v>
      </c>
      <c r="B124">
        <v>102.27994749673201</v>
      </c>
      <c r="C124">
        <v>101.847681937052</v>
      </c>
      <c r="D124">
        <v>102.670868510914</v>
      </c>
      <c r="E124">
        <v>102.361284815549</v>
      </c>
      <c r="F124">
        <v>102.81956781127001</v>
      </c>
      <c r="G124">
        <v>102.52682475018899</v>
      </c>
      <c r="H124">
        <v>103.214534680028</v>
      </c>
      <c r="I124">
        <v>103.795264350457</v>
      </c>
      <c r="J124">
        <v>101.783324039921</v>
      </c>
      <c r="K124">
        <v>101.969899366623</v>
      </c>
      <c r="L124">
        <v>102.29032954711199</v>
      </c>
      <c r="M124">
        <v>101.683024290636</v>
      </c>
    </row>
    <row r="125" spans="1:13" x14ac:dyDescent="0.25">
      <c r="A125" s="1">
        <v>42095</v>
      </c>
      <c r="B125">
        <v>103.136275634797</v>
      </c>
      <c r="C125">
        <v>102.669227183356</v>
      </c>
      <c r="D125">
        <v>103.55865269033799</v>
      </c>
      <c r="E125">
        <v>103.41708146991201</v>
      </c>
      <c r="F125">
        <v>103.67132139760901</v>
      </c>
      <c r="G125">
        <v>103.12054836861699</v>
      </c>
      <c r="H125">
        <v>103.81300592487899</v>
      </c>
      <c r="I125">
        <v>104.437858839391</v>
      </c>
      <c r="J125">
        <v>102.709982450222</v>
      </c>
      <c r="K125">
        <v>102.705206181794</v>
      </c>
      <c r="L125">
        <v>102.832872472738</v>
      </c>
      <c r="M125">
        <v>102.33331699708501</v>
      </c>
    </row>
    <row r="126" spans="1:13" x14ac:dyDescent="0.25">
      <c r="A126" s="1">
        <v>42125</v>
      </c>
      <c r="B126">
        <v>103.31885533217</v>
      </c>
      <c r="C126">
        <v>102.874963626918</v>
      </c>
      <c r="D126">
        <v>103.720290495621</v>
      </c>
      <c r="E126">
        <v>103.617930653597</v>
      </c>
      <c r="F126">
        <v>103.92989687276101</v>
      </c>
      <c r="G126">
        <v>103.368900207927</v>
      </c>
      <c r="H126">
        <v>103.79004388854401</v>
      </c>
      <c r="I126">
        <v>104.578500444314</v>
      </c>
      <c r="J126">
        <v>102.82128696014099</v>
      </c>
      <c r="K126">
        <v>103.09291365817199</v>
      </c>
      <c r="L126">
        <v>103.101615578799</v>
      </c>
      <c r="M126">
        <v>102.734165121692</v>
      </c>
    </row>
    <row r="127" spans="1:13" x14ac:dyDescent="0.25">
      <c r="A127" s="1">
        <v>42156</v>
      </c>
      <c r="B127">
        <v>103.73993026801</v>
      </c>
      <c r="C127">
        <v>103.32105747322601</v>
      </c>
      <c r="D127">
        <v>104.11873948397201</v>
      </c>
      <c r="E127">
        <v>104.122110104977</v>
      </c>
      <c r="F127">
        <v>103.999555044947</v>
      </c>
      <c r="G127">
        <v>103.57806131219201</v>
      </c>
      <c r="H127">
        <v>104.080617807072</v>
      </c>
      <c r="I127">
        <v>104.917612281489</v>
      </c>
      <c r="J127">
        <v>103.270123026129</v>
      </c>
      <c r="K127">
        <v>103.03777543690801</v>
      </c>
      <c r="L127">
        <v>103.287613768936</v>
      </c>
      <c r="M127">
        <v>103.839138045609</v>
      </c>
    </row>
    <row r="128" spans="1:13" x14ac:dyDescent="0.25">
      <c r="A128" s="1">
        <v>42186</v>
      </c>
      <c r="B128">
        <v>103.657455089685</v>
      </c>
      <c r="C128">
        <v>103.134344545464</v>
      </c>
      <c r="D128">
        <v>104.130532113513</v>
      </c>
      <c r="E128">
        <v>104.049016118208</v>
      </c>
      <c r="F128">
        <v>104.323972347197</v>
      </c>
      <c r="G128">
        <v>103.918964151518</v>
      </c>
      <c r="H128">
        <v>104.12049991464799</v>
      </c>
      <c r="I128">
        <v>104.886052502292</v>
      </c>
      <c r="J128">
        <v>103.11253776772099</v>
      </c>
      <c r="K128">
        <v>102.672103689791</v>
      </c>
      <c r="L128">
        <v>103.565294320053</v>
      </c>
      <c r="M128">
        <v>103.346584593785</v>
      </c>
    </row>
    <row r="129" spans="1:13" x14ac:dyDescent="0.25">
      <c r="A129" s="1">
        <v>42217</v>
      </c>
      <c r="B129">
        <v>103.656098306969</v>
      </c>
      <c r="C129">
        <v>103.274522162636</v>
      </c>
      <c r="D129">
        <v>104.001178154276</v>
      </c>
      <c r="E129">
        <v>103.879659280152</v>
      </c>
      <c r="F129">
        <v>104.512761343362</v>
      </c>
      <c r="G129">
        <v>103.86771646530001</v>
      </c>
      <c r="H129">
        <v>103.95529429884699</v>
      </c>
      <c r="I129">
        <v>104.79373663855</v>
      </c>
      <c r="J129">
        <v>103.078890866347</v>
      </c>
      <c r="K129">
        <v>103.441311813257</v>
      </c>
      <c r="L129">
        <v>103.8345994374</v>
      </c>
      <c r="M129">
        <v>103.556711806876</v>
      </c>
    </row>
    <row r="130" spans="1:13" x14ac:dyDescent="0.25">
      <c r="A130" s="1">
        <v>42248</v>
      </c>
      <c r="B130">
        <v>103.93019277185</v>
      </c>
      <c r="C130">
        <v>103.621444450383</v>
      </c>
      <c r="D130">
        <v>104.209410498667</v>
      </c>
      <c r="E130">
        <v>104.209732478276</v>
      </c>
      <c r="F130">
        <v>104.84621360505901</v>
      </c>
      <c r="G130">
        <v>103.836307778928</v>
      </c>
      <c r="H130">
        <v>103.877014184869</v>
      </c>
      <c r="I130">
        <v>104.915963979803</v>
      </c>
      <c r="J130">
        <v>103.560662284782</v>
      </c>
      <c r="K130">
        <v>103.551591417387</v>
      </c>
      <c r="L130">
        <v>103.652536317818</v>
      </c>
      <c r="M130">
        <v>103.93174061205499</v>
      </c>
    </row>
    <row r="131" spans="1:13" x14ac:dyDescent="0.25">
      <c r="A131" s="1">
        <v>42278</v>
      </c>
      <c r="B131">
        <v>103.836155081974</v>
      </c>
      <c r="C131">
        <v>103.59026583932901</v>
      </c>
      <c r="D131">
        <v>104.05852596015001</v>
      </c>
      <c r="E131">
        <v>104.029747163465</v>
      </c>
      <c r="F131">
        <v>104.760522204205</v>
      </c>
      <c r="G131">
        <v>103.575719632768</v>
      </c>
      <c r="H131">
        <v>103.861458686967</v>
      </c>
      <c r="I131">
        <v>104.707771144456</v>
      </c>
      <c r="J131">
        <v>103.456661006907</v>
      </c>
      <c r="K131">
        <v>103.57929254134901</v>
      </c>
      <c r="L131">
        <v>103.92406493262</v>
      </c>
      <c r="M131">
        <v>103.93808893451801</v>
      </c>
    </row>
    <row r="132" spans="1:13" x14ac:dyDescent="0.25">
      <c r="A132" s="1">
        <v>42309</v>
      </c>
      <c r="B132">
        <v>103.94768476646399</v>
      </c>
      <c r="C132">
        <v>103.82739370586199</v>
      </c>
      <c r="D132">
        <v>104.056470447753</v>
      </c>
      <c r="E132">
        <v>103.94690750818</v>
      </c>
      <c r="F132">
        <v>104.840989935553</v>
      </c>
      <c r="G132">
        <v>103.83055263532199</v>
      </c>
      <c r="H132">
        <v>103.89776298774601</v>
      </c>
      <c r="I132">
        <v>104.899303288608</v>
      </c>
      <c r="J132">
        <v>103.777219221679</v>
      </c>
      <c r="K132">
        <v>103.719156660686</v>
      </c>
      <c r="L132">
        <v>104.117951401849</v>
      </c>
      <c r="M132">
        <v>103.93320219913799</v>
      </c>
    </row>
    <row r="133" spans="1:13" x14ac:dyDescent="0.25">
      <c r="A133" s="1">
        <v>42339</v>
      </c>
      <c r="B133">
        <v>104.04581683199901</v>
      </c>
      <c r="C133">
        <v>103.96632670596701</v>
      </c>
      <c r="D133">
        <v>104.117704031869</v>
      </c>
      <c r="E133">
        <v>104.051593492618</v>
      </c>
      <c r="F133">
        <v>104.74853282684001</v>
      </c>
      <c r="G133">
        <v>104.100999831458</v>
      </c>
      <c r="H133">
        <v>103.838642057767</v>
      </c>
      <c r="I133">
        <v>104.830201254447</v>
      </c>
      <c r="J133">
        <v>103.822063933704</v>
      </c>
      <c r="K133">
        <v>103.663609620858</v>
      </c>
      <c r="L133">
        <v>104.771350069058</v>
      </c>
      <c r="M133">
        <v>104.285248501065</v>
      </c>
    </row>
    <row r="134" spans="1:13" x14ac:dyDescent="0.25">
      <c r="A134" s="1">
        <v>42370</v>
      </c>
      <c r="B134">
        <v>104.366441047927</v>
      </c>
      <c r="C134">
        <v>104.26851293001</v>
      </c>
      <c r="D134">
        <v>104.455002716363</v>
      </c>
      <c r="E134">
        <v>104.199753998855</v>
      </c>
      <c r="F134">
        <v>105.97863973088801</v>
      </c>
      <c r="G134">
        <v>104.24090917069501</v>
      </c>
      <c r="H134">
        <v>104.43707187389801</v>
      </c>
      <c r="I134">
        <v>105.41430823253</v>
      </c>
      <c r="J134">
        <v>104.059956148919</v>
      </c>
      <c r="K134">
        <v>104.21172777293199</v>
      </c>
      <c r="L134">
        <v>104.91959779157099</v>
      </c>
      <c r="M134">
        <v>104.751758630162</v>
      </c>
    </row>
    <row r="135" spans="1:13" x14ac:dyDescent="0.25">
      <c r="A135" s="1">
        <v>42401</v>
      </c>
      <c r="B135">
        <v>104.510512262804</v>
      </c>
      <c r="C135">
        <v>104.39064900136</v>
      </c>
      <c r="D135">
        <v>104.618911062286</v>
      </c>
      <c r="E135">
        <v>104.327276529556</v>
      </c>
      <c r="F135">
        <v>106.220326560164</v>
      </c>
      <c r="G135">
        <v>104.757230597439</v>
      </c>
      <c r="H135">
        <v>104.537370040242</v>
      </c>
      <c r="I135">
        <v>105.573887778667</v>
      </c>
      <c r="J135">
        <v>104.143504048764</v>
      </c>
      <c r="K135">
        <v>104.375702197687</v>
      </c>
      <c r="L135">
        <v>104.75016952407</v>
      </c>
      <c r="M135">
        <v>105.22215347813101</v>
      </c>
    </row>
    <row r="136" spans="1:13" x14ac:dyDescent="0.25">
      <c r="A136" s="1">
        <v>42430</v>
      </c>
      <c r="B136">
        <v>104.653707987237</v>
      </c>
      <c r="C136">
        <v>104.44106228285</v>
      </c>
      <c r="D136">
        <v>104.846014944289</v>
      </c>
      <c r="E136">
        <v>104.747528653784</v>
      </c>
      <c r="F136">
        <v>106.483257243898</v>
      </c>
      <c r="G136">
        <v>104.858452558454</v>
      </c>
      <c r="H136">
        <v>104.29905716758699</v>
      </c>
      <c r="I136">
        <v>105.559135091103</v>
      </c>
      <c r="J136">
        <v>104.173473470964</v>
      </c>
      <c r="K136">
        <v>104.44308511473901</v>
      </c>
      <c r="L136">
        <v>105.238557330501</v>
      </c>
      <c r="M136">
        <v>105.018325180874</v>
      </c>
    </row>
    <row r="137" spans="1:13" x14ac:dyDescent="0.25">
      <c r="A137" s="1">
        <v>42461</v>
      </c>
      <c r="B137">
        <v>104.974551162184</v>
      </c>
      <c r="C137">
        <v>104.54056846647801</v>
      </c>
      <c r="D137">
        <v>105.367025074907</v>
      </c>
      <c r="E137">
        <v>105.22246097851</v>
      </c>
      <c r="F137">
        <v>106.813897171647</v>
      </c>
      <c r="G137">
        <v>105.99984159314</v>
      </c>
      <c r="H137">
        <v>104.992954484675</v>
      </c>
      <c r="I137">
        <v>105.47444368779701</v>
      </c>
      <c r="J137">
        <v>104.45966269253699</v>
      </c>
      <c r="K137">
        <v>104.286213946003</v>
      </c>
      <c r="L137">
        <v>105.139239711717</v>
      </c>
      <c r="M137">
        <v>104.689542167396</v>
      </c>
    </row>
    <row r="138" spans="1:13" x14ac:dyDescent="0.25">
      <c r="A138" s="1">
        <v>42491</v>
      </c>
      <c r="B138">
        <v>105.007932603396</v>
      </c>
      <c r="C138">
        <v>104.68625570419201</v>
      </c>
      <c r="D138">
        <v>105.29884233899701</v>
      </c>
      <c r="E138">
        <v>105.08495500309201</v>
      </c>
      <c r="F138">
        <v>107.14221630300599</v>
      </c>
      <c r="G138">
        <v>106.294212854794</v>
      </c>
      <c r="H138">
        <v>104.881143627348</v>
      </c>
      <c r="I138">
        <v>105.30891827660901</v>
      </c>
      <c r="J138">
        <v>104.590803824391</v>
      </c>
      <c r="K138">
        <v>103.96199276716</v>
      </c>
      <c r="L138">
        <v>105.44364841797</v>
      </c>
      <c r="M138">
        <v>105.226705238009</v>
      </c>
    </row>
    <row r="139" spans="1:13" x14ac:dyDescent="0.25">
      <c r="A139" s="1">
        <v>42522</v>
      </c>
      <c r="B139">
        <v>105.38476115065799</v>
      </c>
      <c r="C139">
        <v>104.932451249477</v>
      </c>
      <c r="D139">
        <v>105.79380934183401</v>
      </c>
      <c r="E139">
        <v>105.77237302907599</v>
      </c>
      <c r="F139">
        <v>107.22066082570799</v>
      </c>
      <c r="G139">
        <v>106.400918256387</v>
      </c>
      <c r="H139">
        <v>105.159537972664</v>
      </c>
      <c r="I139">
        <v>105.628384584549</v>
      </c>
      <c r="J139">
        <v>104.95957726314801</v>
      </c>
      <c r="K139">
        <v>104.24676888955899</v>
      </c>
      <c r="L139">
        <v>105.42569657346699</v>
      </c>
      <c r="M139">
        <v>105.09516856225299</v>
      </c>
    </row>
    <row r="140" spans="1:13" x14ac:dyDescent="0.25">
      <c r="A140" s="1">
        <v>42552</v>
      </c>
      <c r="B140">
        <v>105.294970827379</v>
      </c>
      <c r="C140">
        <v>104.946638748871</v>
      </c>
      <c r="D140">
        <v>105.609986276455</v>
      </c>
      <c r="E140">
        <v>105.477176022187</v>
      </c>
      <c r="F140">
        <v>106.920654434639</v>
      </c>
      <c r="G140">
        <v>106.58038961142501</v>
      </c>
      <c r="H140">
        <v>105.105314197575</v>
      </c>
      <c r="I140">
        <v>105.71301914156901</v>
      </c>
      <c r="J140">
        <v>105.00944783813701</v>
      </c>
      <c r="K140">
        <v>104.272574312887</v>
      </c>
      <c r="L140">
        <v>105.30421383665799</v>
      </c>
      <c r="M140">
        <v>105.04304588633801</v>
      </c>
    </row>
    <row r="141" spans="1:13" x14ac:dyDescent="0.25">
      <c r="A141" s="1">
        <v>42583</v>
      </c>
      <c r="B141">
        <v>105.12332203234</v>
      </c>
      <c r="C141">
        <v>104.759099118005</v>
      </c>
      <c r="D141">
        <v>105.452708419648</v>
      </c>
      <c r="E141">
        <v>105.483616176309</v>
      </c>
      <c r="F141">
        <v>106.814169289975</v>
      </c>
      <c r="G141">
        <v>106.42035958147299</v>
      </c>
      <c r="H141">
        <v>104.440938370227</v>
      </c>
      <c r="I141">
        <v>105.51308769272801</v>
      </c>
      <c r="J141">
        <v>104.82526079716</v>
      </c>
      <c r="K141">
        <v>104.089319532769</v>
      </c>
      <c r="L141">
        <v>105.270860550123</v>
      </c>
      <c r="M141">
        <v>104.721225682118</v>
      </c>
    </row>
    <row r="142" spans="1:13" x14ac:dyDescent="0.25">
      <c r="A142" s="1">
        <v>42614</v>
      </c>
      <c r="B142">
        <v>105.283497330793</v>
      </c>
      <c r="C142">
        <v>104.916282519766</v>
      </c>
      <c r="D142">
        <v>105.615589451331</v>
      </c>
      <c r="E142">
        <v>105.646078944084</v>
      </c>
      <c r="F142">
        <v>107.195157313021</v>
      </c>
      <c r="G142">
        <v>106.417318179905</v>
      </c>
      <c r="H142">
        <v>104.604896254881</v>
      </c>
      <c r="I142">
        <v>105.65994048412399</v>
      </c>
      <c r="J142">
        <v>104.841382867814</v>
      </c>
      <c r="K142">
        <v>104.13543068450799</v>
      </c>
      <c r="L142">
        <v>106.24651254521901</v>
      </c>
      <c r="M142">
        <v>104.99113269348901</v>
      </c>
    </row>
    <row r="143" spans="1:13" x14ac:dyDescent="0.25">
      <c r="A143" s="1">
        <v>42644</v>
      </c>
      <c r="B143">
        <v>105.196903719673</v>
      </c>
      <c r="C143">
        <v>104.84733042758801</v>
      </c>
      <c r="D143">
        <v>105.513041665</v>
      </c>
      <c r="E143">
        <v>105.529973811657</v>
      </c>
      <c r="F143">
        <v>107.179458786125</v>
      </c>
      <c r="G143">
        <v>106.41202660974</v>
      </c>
      <c r="H143">
        <v>104.400720594384</v>
      </c>
      <c r="I143">
        <v>105.747302980722</v>
      </c>
      <c r="J143">
        <v>104.805033947163</v>
      </c>
      <c r="K143">
        <v>104.025310610833</v>
      </c>
      <c r="L143">
        <v>106.233245585853</v>
      </c>
      <c r="M143">
        <v>104.776248438499</v>
      </c>
    </row>
    <row r="144" spans="1:13" x14ac:dyDescent="0.25">
      <c r="A144" s="1">
        <v>42675</v>
      </c>
      <c r="B144">
        <v>105.044113509139</v>
      </c>
      <c r="C144">
        <v>104.781975959224</v>
      </c>
      <c r="D144">
        <v>105.281178606216</v>
      </c>
      <c r="E144">
        <v>105.190822312336</v>
      </c>
      <c r="F144">
        <v>107.57024750239501</v>
      </c>
      <c r="G144">
        <v>106.30201293967001</v>
      </c>
      <c r="H144">
        <v>104.153947775218</v>
      </c>
      <c r="I144">
        <v>105.714673403761</v>
      </c>
      <c r="J144">
        <v>104.78175194578201</v>
      </c>
      <c r="K144">
        <v>103.89087507041999</v>
      </c>
      <c r="L144">
        <v>105.853519407102</v>
      </c>
      <c r="M144">
        <v>104.826984108459</v>
      </c>
    </row>
    <row r="145" spans="1:13" x14ac:dyDescent="0.25">
      <c r="A145" s="1">
        <v>42705</v>
      </c>
      <c r="B145">
        <v>105.210912990011</v>
      </c>
      <c r="C145">
        <v>104.945188997542</v>
      </c>
      <c r="D145">
        <v>105.451221500144</v>
      </c>
      <c r="E145">
        <v>105.21567611986499</v>
      </c>
      <c r="F145">
        <v>107.354246595576</v>
      </c>
      <c r="G145">
        <v>106.610433991151</v>
      </c>
      <c r="H145">
        <v>104.835938298906</v>
      </c>
      <c r="I145">
        <v>105.923038033361</v>
      </c>
      <c r="J145">
        <v>104.93505179766299</v>
      </c>
      <c r="K145">
        <v>103.724037837019</v>
      </c>
      <c r="L145">
        <v>105.88035969201999</v>
      </c>
      <c r="M145">
        <v>105.449442927634</v>
      </c>
    </row>
    <row r="146" spans="1:13" x14ac:dyDescent="0.25">
      <c r="A146" s="1">
        <v>42736</v>
      </c>
      <c r="B146">
        <v>105.30329077682801</v>
      </c>
      <c r="C146">
        <v>104.972204523393</v>
      </c>
      <c r="D146">
        <v>105.60270989796</v>
      </c>
      <c r="E146">
        <v>105.501645748638</v>
      </c>
      <c r="F146">
        <v>107.17621714790999</v>
      </c>
      <c r="G146">
        <v>106.65492183923899</v>
      </c>
      <c r="H146">
        <v>104.702618204472</v>
      </c>
      <c r="I146">
        <v>106.156581193268</v>
      </c>
      <c r="J146">
        <v>104.83881124486</v>
      </c>
      <c r="K146">
        <v>103.690869822656</v>
      </c>
      <c r="L146">
        <v>106.319803082093</v>
      </c>
      <c r="M146">
        <v>105.76664627527801</v>
      </c>
    </row>
    <row r="147" spans="1:13" x14ac:dyDescent="0.25">
      <c r="A147" s="1">
        <v>42767</v>
      </c>
      <c r="B147">
        <v>105.51204374395201</v>
      </c>
      <c r="C147">
        <v>105.01504608350901</v>
      </c>
      <c r="D147">
        <v>105.961505481339</v>
      </c>
      <c r="E147">
        <v>106.025196015389</v>
      </c>
      <c r="F147">
        <v>107.60601333386801</v>
      </c>
      <c r="G147">
        <v>106.766469297539</v>
      </c>
      <c r="H147">
        <v>104.682371299834</v>
      </c>
      <c r="I147">
        <v>106.38200361485799</v>
      </c>
      <c r="J147">
        <v>104.85275157923201</v>
      </c>
      <c r="K147">
        <v>103.717816188613</v>
      </c>
      <c r="L147">
        <v>106.475498298723</v>
      </c>
      <c r="M147">
        <v>105.867132823319</v>
      </c>
    </row>
    <row r="148" spans="1:13" x14ac:dyDescent="0.25">
      <c r="A148" s="1">
        <v>42795</v>
      </c>
      <c r="B148">
        <v>105.657326701866</v>
      </c>
      <c r="C148">
        <v>105.11743764840401</v>
      </c>
      <c r="D148">
        <v>106.14557743477501</v>
      </c>
      <c r="E148">
        <v>106.338270375345</v>
      </c>
      <c r="F148">
        <v>107.246598858342</v>
      </c>
      <c r="G148">
        <v>106.583888086865</v>
      </c>
      <c r="H148">
        <v>104.86124813465401</v>
      </c>
      <c r="I148">
        <v>106.44504546457701</v>
      </c>
      <c r="J148">
        <v>104.84206437031401</v>
      </c>
      <c r="K148">
        <v>104.191051226954</v>
      </c>
      <c r="L148">
        <v>106.58463577291199</v>
      </c>
      <c r="M148">
        <v>106.10932876293801</v>
      </c>
    </row>
    <row r="149" spans="1:13" x14ac:dyDescent="0.25">
      <c r="A149" s="1">
        <v>42826</v>
      </c>
      <c r="B149">
        <v>106.11676915031499</v>
      </c>
      <c r="C149">
        <v>105.24124696110199</v>
      </c>
      <c r="D149">
        <v>106.908550994791</v>
      </c>
      <c r="E149">
        <v>107.07777963679101</v>
      </c>
      <c r="F149">
        <v>107.74963792797401</v>
      </c>
      <c r="G149">
        <v>106.84076534306099</v>
      </c>
      <c r="H149">
        <v>106.12156594770801</v>
      </c>
      <c r="I149">
        <v>106.896547218027</v>
      </c>
      <c r="J149">
        <v>104.983231111816</v>
      </c>
      <c r="K149">
        <v>104.521294603239</v>
      </c>
      <c r="L149">
        <v>106.58490806429199</v>
      </c>
      <c r="M149">
        <v>106.05324172447</v>
      </c>
    </row>
    <row r="150" spans="1:13" x14ac:dyDescent="0.25">
      <c r="A150" s="1">
        <v>42856</v>
      </c>
      <c r="B150">
        <v>106.165206789217</v>
      </c>
      <c r="C150">
        <v>105.42760049632599</v>
      </c>
      <c r="D150">
        <v>106.832263864727</v>
      </c>
      <c r="E150">
        <v>107.16051994920301</v>
      </c>
      <c r="F150">
        <v>107.551363132394</v>
      </c>
      <c r="G150">
        <v>106.746317874287</v>
      </c>
      <c r="H150">
        <v>105.381410913037</v>
      </c>
      <c r="I150">
        <v>107.412828945794</v>
      </c>
      <c r="J150">
        <v>105.23381422617901</v>
      </c>
      <c r="K150">
        <v>104.424058893501</v>
      </c>
      <c r="L150">
        <v>106.81754859377099</v>
      </c>
      <c r="M150">
        <v>106.191948050029</v>
      </c>
    </row>
    <row r="151" spans="1:13" x14ac:dyDescent="0.25">
      <c r="A151" s="1">
        <v>42887</v>
      </c>
      <c r="B151">
        <v>105.55273726978901</v>
      </c>
      <c r="C151">
        <v>105.085530945504</v>
      </c>
      <c r="D151">
        <v>105.975257098242</v>
      </c>
      <c r="E151">
        <v>105.98662556686</v>
      </c>
      <c r="F151">
        <v>107.02765268741599</v>
      </c>
      <c r="G151">
        <v>106.346874643839</v>
      </c>
      <c r="H151">
        <v>105.25238943284</v>
      </c>
      <c r="I151">
        <v>106.394362885124</v>
      </c>
      <c r="J151">
        <v>104.944663929008</v>
      </c>
      <c r="K151">
        <v>103.908666940785</v>
      </c>
      <c r="L151">
        <v>106.515494637301</v>
      </c>
      <c r="M151">
        <v>105.75190423092999</v>
      </c>
    </row>
    <row r="152" spans="1:13" x14ac:dyDescent="0.25">
      <c r="A152" s="1">
        <v>42917</v>
      </c>
      <c r="B152">
        <v>105.40436716683401</v>
      </c>
      <c r="C152">
        <v>104.883923365187</v>
      </c>
      <c r="D152">
        <v>105.875032511803</v>
      </c>
      <c r="E152">
        <v>105.848628508128</v>
      </c>
      <c r="F152">
        <v>106.800902471935</v>
      </c>
      <c r="G152">
        <v>106.587604055943</v>
      </c>
      <c r="H152">
        <v>105.28268870662799</v>
      </c>
      <c r="I152">
        <v>105.98978441017501</v>
      </c>
      <c r="J152">
        <v>104.6616590923</v>
      </c>
      <c r="K152">
        <v>103.894396578903</v>
      </c>
      <c r="L152">
        <v>106.276262746244</v>
      </c>
      <c r="M152">
        <v>105.75836776892299</v>
      </c>
    </row>
    <row r="153" spans="1:13" x14ac:dyDescent="0.25">
      <c r="A153" s="1">
        <v>42948</v>
      </c>
      <c r="B153">
        <v>105.41688937022001</v>
      </c>
      <c r="C153">
        <v>104.885412377842</v>
      </c>
      <c r="D153">
        <v>105.897532623476</v>
      </c>
      <c r="E153">
        <v>105.903105158019</v>
      </c>
      <c r="F153">
        <v>106.690118165225</v>
      </c>
      <c r="G153">
        <v>106.33607792676</v>
      </c>
      <c r="H153">
        <v>105.44003114947201</v>
      </c>
      <c r="I153">
        <v>105.82665440459</v>
      </c>
      <c r="J153">
        <v>104.800563354346</v>
      </c>
      <c r="K153">
        <v>103.81159988270301</v>
      </c>
      <c r="L153">
        <v>105.87518627101601</v>
      </c>
      <c r="M153">
        <v>105.537272788115</v>
      </c>
    </row>
    <row r="154" spans="1:13" x14ac:dyDescent="0.25">
      <c r="A154" s="1">
        <v>42979</v>
      </c>
      <c r="B154">
        <v>105.25558454378999</v>
      </c>
      <c r="C154">
        <v>104.861036007038</v>
      </c>
      <c r="D154">
        <v>105.612396023857</v>
      </c>
      <c r="E154">
        <v>105.61011067851901</v>
      </c>
      <c r="F154">
        <v>106.63327400126801</v>
      </c>
      <c r="G154">
        <v>105.929709851006</v>
      </c>
      <c r="H154">
        <v>105.18320386247601</v>
      </c>
      <c r="I154">
        <v>105.454003736475</v>
      </c>
      <c r="J154">
        <v>104.678251888392</v>
      </c>
      <c r="K154">
        <v>103.951262575961</v>
      </c>
      <c r="L154">
        <v>105.955564493853</v>
      </c>
      <c r="M154">
        <v>105.70917883862499</v>
      </c>
    </row>
    <row r="155" spans="1:13" x14ac:dyDescent="0.25">
      <c r="A155" s="1">
        <v>43009</v>
      </c>
      <c r="B155">
        <v>105.1034891541</v>
      </c>
      <c r="C155">
        <v>104.79976259971301</v>
      </c>
      <c r="D155">
        <v>105.378165426628</v>
      </c>
      <c r="E155">
        <v>105.31419127093299</v>
      </c>
      <c r="F155">
        <v>106.545801589484</v>
      </c>
      <c r="G155">
        <v>105.88426616752299</v>
      </c>
      <c r="H155">
        <v>105.051435367118</v>
      </c>
      <c r="I155">
        <v>105.10274817663699</v>
      </c>
      <c r="J155">
        <v>104.671369993523</v>
      </c>
      <c r="K155">
        <v>103.863958116703</v>
      </c>
      <c r="L155">
        <v>105.881109446246</v>
      </c>
      <c r="M155">
        <v>105.443377845375</v>
      </c>
    </row>
    <row r="156" spans="1:13" x14ac:dyDescent="0.25">
      <c r="A156" s="1">
        <v>43040</v>
      </c>
      <c r="B156">
        <v>104.815862278346</v>
      </c>
      <c r="C156">
        <v>104.652694450239</v>
      </c>
      <c r="D156">
        <v>104.96342372851799</v>
      </c>
      <c r="E156">
        <v>104.88658890454801</v>
      </c>
      <c r="F156">
        <v>106.17261171585</v>
      </c>
      <c r="G156">
        <v>105.96564842507701</v>
      </c>
      <c r="H156">
        <v>104.23982237169299</v>
      </c>
      <c r="I156">
        <v>105.24745300337599</v>
      </c>
      <c r="J156">
        <v>104.571444217839</v>
      </c>
      <c r="K156">
        <v>103.511436310646</v>
      </c>
      <c r="L156">
        <v>105.954942314516</v>
      </c>
      <c r="M156">
        <v>105.118790446104</v>
      </c>
    </row>
    <row r="157" spans="1:13" x14ac:dyDescent="0.25">
      <c r="A157" s="1">
        <v>43070</v>
      </c>
      <c r="B157">
        <v>105.00396255276</v>
      </c>
      <c r="C157">
        <v>104.788574068803</v>
      </c>
      <c r="D157">
        <v>105.19874995302</v>
      </c>
      <c r="E157">
        <v>105.12514801200599</v>
      </c>
      <c r="F157">
        <v>106.282313989302</v>
      </c>
      <c r="G157">
        <v>105.99551702937499</v>
      </c>
      <c r="H157">
        <v>104.56015835506901</v>
      </c>
      <c r="I157">
        <v>105.581131842895</v>
      </c>
      <c r="J157">
        <v>104.775371818322</v>
      </c>
      <c r="K157">
        <v>103.526498459424</v>
      </c>
      <c r="L157">
        <v>105.69859682056099</v>
      </c>
      <c r="M157">
        <v>105.36401305155501</v>
      </c>
    </row>
    <row r="158" spans="1:13" x14ac:dyDescent="0.25">
      <c r="A158" s="1">
        <v>43101</v>
      </c>
      <c r="B158">
        <v>105.204050176427</v>
      </c>
      <c r="C158">
        <v>105.110038624308</v>
      </c>
      <c r="D158">
        <v>105.289069883587</v>
      </c>
      <c r="E158">
        <v>105.026010321195</v>
      </c>
      <c r="F158">
        <v>106.91464508720399</v>
      </c>
      <c r="G158">
        <v>106.715024082857</v>
      </c>
      <c r="H158">
        <v>104.60957713273299</v>
      </c>
      <c r="I158">
        <v>106.115932154603</v>
      </c>
      <c r="J158">
        <v>105.22542892244201</v>
      </c>
      <c r="K158">
        <v>103.585749011788</v>
      </c>
      <c r="L158">
        <v>106.22817540401201</v>
      </c>
      <c r="M158">
        <v>105.213365550988</v>
      </c>
    </row>
    <row r="159" spans="1:13" x14ac:dyDescent="0.25">
      <c r="A159" s="1">
        <v>43132</v>
      </c>
      <c r="B159">
        <v>105.365176487928</v>
      </c>
      <c r="C159">
        <v>105.285075504933</v>
      </c>
      <c r="D159">
        <v>105.437616118633</v>
      </c>
      <c r="E159">
        <v>105.33065576931099</v>
      </c>
      <c r="F159">
        <v>106.808231009403</v>
      </c>
      <c r="G159">
        <v>106.466706971473</v>
      </c>
      <c r="H159">
        <v>104.527311172048</v>
      </c>
      <c r="I159">
        <v>106.283899250595</v>
      </c>
      <c r="J159">
        <v>105.29543457280199</v>
      </c>
      <c r="K159">
        <v>103.84277994976399</v>
      </c>
      <c r="L159">
        <v>106.42444974140901</v>
      </c>
      <c r="M159">
        <v>105.756367869144</v>
      </c>
    </row>
    <row r="160" spans="1:13" x14ac:dyDescent="0.25">
      <c r="A160" s="1">
        <v>43160</v>
      </c>
      <c r="B160">
        <v>105.432295912604</v>
      </c>
      <c r="C160">
        <v>105.33083569841899</v>
      </c>
      <c r="D160">
        <v>105.524051845825</v>
      </c>
      <c r="E160">
        <v>105.29961083491</v>
      </c>
      <c r="F160">
        <v>107.05666731219</v>
      </c>
      <c r="G160">
        <v>106.673000715973</v>
      </c>
      <c r="H160">
        <v>105.187553881136</v>
      </c>
      <c r="I160">
        <v>105.522602205818</v>
      </c>
      <c r="J160">
        <v>105.351291395449</v>
      </c>
      <c r="K160">
        <v>103.770199771949</v>
      </c>
      <c r="L160">
        <v>106.528464440443</v>
      </c>
      <c r="M160">
        <v>105.826530173419</v>
      </c>
    </row>
    <row r="161" spans="1:13" x14ac:dyDescent="0.25">
      <c r="A161" s="1">
        <v>43191</v>
      </c>
      <c r="B161">
        <v>105.285855505328</v>
      </c>
      <c r="C161">
        <v>105.142570348658</v>
      </c>
      <c r="D161">
        <v>105.415435985448</v>
      </c>
      <c r="E161">
        <v>105.490855499004</v>
      </c>
      <c r="F161">
        <v>107.15991892417399</v>
      </c>
      <c r="G161">
        <v>105.783957091028</v>
      </c>
      <c r="H161">
        <v>104.300856125363</v>
      </c>
      <c r="I161">
        <v>105.703022687417</v>
      </c>
      <c r="J161">
        <v>105.295356428671</v>
      </c>
      <c r="K161">
        <v>103.576242429883</v>
      </c>
      <c r="L161">
        <v>106.202972540619</v>
      </c>
      <c r="M161">
        <v>105.164662059002</v>
      </c>
    </row>
    <row r="162" spans="1:13" x14ac:dyDescent="0.25">
      <c r="A162" s="1">
        <v>43221</v>
      </c>
      <c r="B162">
        <v>105.09360950223601</v>
      </c>
      <c r="C162">
        <v>104.863593754733</v>
      </c>
      <c r="D162">
        <v>105.301625124295</v>
      </c>
      <c r="E162">
        <v>105.343366135176</v>
      </c>
      <c r="F162">
        <v>106.595941671239</v>
      </c>
      <c r="G162">
        <v>105.670450808409</v>
      </c>
      <c r="H162">
        <v>104.406906419221</v>
      </c>
      <c r="I162">
        <v>105.70391553233399</v>
      </c>
      <c r="J162">
        <v>104.99886514076501</v>
      </c>
      <c r="K162">
        <v>103.61165869676999</v>
      </c>
      <c r="L162">
        <v>105.87817445416501</v>
      </c>
      <c r="M162">
        <v>104.698343911999</v>
      </c>
    </row>
    <row r="163" spans="1:13" x14ac:dyDescent="0.25">
      <c r="A163" s="1">
        <v>43252</v>
      </c>
      <c r="B163">
        <v>104.805413816399</v>
      </c>
      <c r="C163">
        <v>104.790425739356</v>
      </c>
      <c r="D163">
        <v>104.818968341267</v>
      </c>
      <c r="E163">
        <v>104.83905015776099</v>
      </c>
      <c r="F163">
        <v>106.05720170664701</v>
      </c>
      <c r="G163">
        <v>105.59569967207899</v>
      </c>
      <c r="H163">
        <v>103.832011954542</v>
      </c>
      <c r="I163">
        <v>105.23468521562199</v>
      </c>
      <c r="J163">
        <v>105.096147012956</v>
      </c>
      <c r="K163">
        <v>103.193875735527</v>
      </c>
      <c r="L163">
        <v>105.502761639772</v>
      </c>
      <c r="M163">
        <v>104.429528601176</v>
      </c>
    </row>
    <row r="164" spans="1:13" x14ac:dyDescent="0.25">
      <c r="A164" s="1">
        <v>43282</v>
      </c>
      <c r="B164">
        <v>104.80109808551499</v>
      </c>
      <c r="C164">
        <v>104.843885009223</v>
      </c>
      <c r="D164">
        <v>104.762403567215</v>
      </c>
      <c r="E164">
        <v>104.75587049759901</v>
      </c>
      <c r="F164">
        <v>105.647839506106</v>
      </c>
      <c r="G164">
        <v>105.63082682704599</v>
      </c>
      <c r="H164">
        <v>103.912450605149</v>
      </c>
      <c r="I164">
        <v>105.259978929296</v>
      </c>
      <c r="J164">
        <v>105.096849693935</v>
      </c>
      <c r="K164">
        <v>103.189684034892</v>
      </c>
      <c r="L164">
        <v>105.69666096688501</v>
      </c>
      <c r="M164">
        <v>104.664517537948</v>
      </c>
    </row>
    <row r="165" spans="1:13" x14ac:dyDescent="0.25">
      <c r="A165" s="1">
        <v>43313</v>
      </c>
      <c r="B165">
        <v>105.083525023619</v>
      </c>
      <c r="C165">
        <v>104.937769524175</v>
      </c>
      <c r="D165">
        <v>105.215339567687</v>
      </c>
      <c r="E165">
        <v>105.273137969895</v>
      </c>
      <c r="F165">
        <v>106.37692584843801</v>
      </c>
      <c r="G165">
        <v>105.62106380142301</v>
      </c>
      <c r="H165">
        <v>104.250321064264</v>
      </c>
      <c r="I165">
        <v>105.755291325687</v>
      </c>
      <c r="J165">
        <v>105.16193439579099</v>
      </c>
      <c r="K165">
        <v>103.128676544553</v>
      </c>
      <c r="L165">
        <v>106.258098682371</v>
      </c>
      <c r="M165">
        <v>104.682006104538</v>
      </c>
    </row>
    <row r="166" spans="1:13" x14ac:dyDescent="0.25">
      <c r="A166" s="1">
        <v>43344</v>
      </c>
      <c r="B166">
        <v>105.495324910595</v>
      </c>
      <c r="C166">
        <v>105.349430975584</v>
      </c>
      <c r="D166">
        <v>105.627264649398</v>
      </c>
      <c r="E166">
        <v>105.59148303127201</v>
      </c>
      <c r="F166">
        <v>107.002537569476</v>
      </c>
      <c r="G166">
        <v>105.715668242192</v>
      </c>
      <c r="H166">
        <v>104.82861485056</v>
      </c>
      <c r="I166">
        <v>106.653792411469</v>
      </c>
      <c r="J166">
        <v>105.640713585443</v>
      </c>
      <c r="K166">
        <v>103.58808266645001</v>
      </c>
      <c r="L166">
        <v>105.888744894242</v>
      </c>
      <c r="M166">
        <v>105.33814018289</v>
      </c>
    </row>
    <row r="167" spans="1:13" x14ac:dyDescent="0.25">
      <c r="A167" s="1">
        <v>43374</v>
      </c>
      <c r="B167">
        <v>105.445727281168</v>
      </c>
      <c r="C167">
        <v>105.283862496097</v>
      </c>
      <c r="D167">
        <v>105.59211031938</v>
      </c>
      <c r="E167">
        <v>105.78766273613699</v>
      </c>
      <c r="F167">
        <v>106.645485146805</v>
      </c>
      <c r="G167">
        <v>105.894262392771</v>
      </c>
      <c r="H167">
        <v>104.197684935333</v>
      </c>
      <c r="I167">
        <v>106.360035934716</v>
      </c>
      <c r="J167">
        <v>105.539665052271</v>
      </c>
      <c r="K167">
        <v>103.504692836125</v>
      </c>
      <c r="L167">
        <v>106.19981721982001</v>
      </c>
      <c r="M167">
        <v>105.163418462002</v>
      </c>
    </row>
    <row r="168" spans="1:13" x14ac:dyDescent="0.25">
      <c r="A168" s="1">
        <v>43405</v>
      </c>
      <c r="B168">
        <v>105.17914043107299</v>
      </c>
      <c r="C168">
        <v>105.14126827202701</v>
      </c>
      <c r="D168">
        <v>105.21339026312999</v>
      </c>
      <c r="E168">
        <v>105.35971394362301</v>
      </c>
      <c r="F168">
        <v>106.419717608477</v>
      </c>
      <c r="G168">
        <v>105.81547542539199</v>
      </c>
      <c r="H168">
        <v>103.910278051731</v>
      </c>
      <c r="I168">
        <v>105.659559502501</v>
      </c>
      <c r="J168">
        <v>105.29393222432</v>
      </c>
      <c r="K168">
        <v>103.60163278282501</v>
      </c>
      <c r="L168">
        <v>106.122961907617</v>
      </c>
      <c r="M168">
        <v>105.19748543205699</v>
      </c>
    </row>
    <row r="169" spans="1:13" x14ac:dyDescent="0.25">
      <c r="A169" s="1">
        <v>43435</v>
      </c>
      <c r="B169">
        <v>105.28345197589999</v>
      </c>
      <c r="C169">
        <v>105.09044118602</v>
      </c>
      <c r="D169">
        <v>105.45800202282901</v>
      </c>
      <c r="E169">
        <v>105.6956614688</v>
      </c>
      <c r="F169">
        <v>106.355681291087</v>
      </c>
      <c r="G169">
        <v>105.991508608065</v>
      </c>
      <c r="H169">
        <v>104.13157755978099</v>
      </c>
      <c r="I169">
        <v>105.582513814728</v>
      </c>
      <c r="J169">
        <v>105.28955239841601</v>
      </c>
      <c r="K169">
        <v>103.249542593339</v>
      </c>
      <c r="L169">
        <v>106.414276825678</v>
      </c>
      <c r="M169">
        <v>104.97241198624999</v>
      </c>
    </row>
    <row r="170" spans="1:13" x14ac:dyDescent="0.25">
      <c r="A170" s="1">
        <v>43466</v>
      </c>
      <c r="B170">
        <v>105.773500350709</v>
      </c>
      <c r="C170">
        <v>105.667861851043</v>
      </c>
      <c r="D170">
        <v>105.869034932406</v>
      </c>
      <c r="E170">
        <v>106.039566776623</v>
      </c>
      <c r="F170">
        <v>106.668595265259</v>
      </c>
      <c r="G170">
        <v>106.55955507295</v>
      </c>
      <c r="H170">
        <v>104.584146891071</v>
      </c>
      <c r="I170">
        <v>106.34927583621401</v>
      </c>
      <c r="J170">
        <v>105.842718294006</v>
      </c>
      <c r="K170">
        <v>103.960789966531</v>
      </c>
      <c r="L170">
        <v>107.02392108996401</v>
      </c>
      <c r="M170">
        <v>105.50520486255699</v>
      </c>
    </row>
    <row r="171" spans="1:13" x14ac:dyDescent="0.25">
      <c r="A171" s="1">
        <v>43497</v>
      </c>
      <c r="B171">
        <v>105.53091194837501</v>
      </c>
      <c r="C171">
        <v>105.353213194532</v>
      </c>
      <c r="D171">
        <v>105.69161449688001</v>
      </c>
      <c r="E171">
        <v>105.787717718723</v>
      </c>
      <c r="F171">
        <v>106.637211832879</v>
      </c>
      <c r="G171">
        <v>106.546383048484</v>
      </c>
      <c r="H171">
        <v>104.60909871646101</v>
      </c>
      <c r="I171">
        <v>105.922431608742</v>
      </c>
      <c r="J171">
        <v>105.51215459526701</v>
      </c>
      <c r="K171">
        <v>103.66918453636499</v>
      </c>
      <c r="L171">
        <v>106.684052126494</v>
      </c>
      <c r="M171">
        <v>105.25752289535301</v>
      </c>
    </row>
    <row r="172" spans="1:13" x14ac:dyDescent="0.25">
      <c r="A172" s="1">
        <v>43525</v>
      </c>
      <c r="B172">
        <v>105.307760531158</v>
      </c>
      <c r="C172">
        <v>105.12838945271901</v>
      </c>
      <c r="D172">
        <v>105.46997545281501</v>
      </c>
      <c r="E172">
        <v>105.60602444110501</v>
      </c>
      <c r="F172">
        <v>106.054566648828</v>
      </c>
      <c r="G172">
        <v>106.372581926634</v>
      </c>
      <c r="H172">
        <v>104.39327702816399</v>
      </c>
      <c r="I172">
        <v>105.64148808691399</v>
      </c>
      <c r="J172">
        <v>105.26850684079901</v>
      </c>
      <c r="K172">
        <v>103.558279275141</v>
      </c>
      <c r="L172">
        <v>106.491561362401</v>
      </c>
      <c r="M172">
        <v>104.983025521627</v>
      </c>
    </row>
    <row r="173" spans="1:13" x14ac:dyDescent="0.25">
      <c r="A173" s="1">
        <v>43556</v>
      </c>
      <c r="B173">
        <v>105.488432161687</v>
      </c>
      <c r="C173">
        <v>105.197307698732</v>
      </c>
      <c r="D173">
        <v>105.75171168457</v>
      </c>
      <c r="E173">
        <v>105.871822408789</v>
      </c>
      <c r="F173">
        <v>106.327271437647</v>
      </c>
      <c r="G173">
        <v>106.573115818823</v>
      </c>
      <c r="H173">
        <v>104.82116401240199</v>
      </c>
      <c r="I173">
        <v>105.76624010101899</v>
      </c>
      <c r="J173">
        <v>105.38869730240199</v>
      </c>
      <c r="K173">
        <v>103.436827673732</v>
      </c>
      <c r="L173">
        <v>106.563871376337</v>
      </c>
      <c r="M173">
        <v>105.004832615589</v>
      </c>
    </row>
    <row r="174" spans="1:13" x14ac:dyDescent="0.25">
      <c r="A174" s="1">
        <v>43586</v>
      </c>
      <c r="B174">
        <v>105.483993620977</v>
      </c>
      <c r="C174">
        <v>105.18876638347901</v>
      </c>
      <c r="D174">
        <v>105.75098350373</v>
      </c>
      <c r="E174">
        <v>106.048905327467</v>
      </c>
      <c r="F174">
        <v>106.30909781206</v>
      </c>
      <c r="G174">
        <v>105.90128519619201</v>
      </c>
      <c r="H174">
        <v>104.49524004343699</v>
      </c>
      <c r="I174">
        <v>105.94538140376901</v>
      </c>
      <c r="J174">
        <v>105.442239038368</v>
      </c>
      <c r="K174">
        <v>103.03013371787</v>
      </c>
      <c r="L174">
        <v>106.566392221687</v>
      </c>
      <c r="M174">
        <v>105.093291307505</v>
      </c>
    </row>
    <row r="175" spans="1:13" x14ac:dyDescent="0.25">
      <c r="A175" s="1">
        <v>43617</v>
      </c>
      <c r="B175">
        <v>105.446249456763</v>
      </c>
      <c r="C175">
        <v>105.252540248157</v>
      </c>
      <c r="D175">
        <v>105.621431121342</v>
      </c>
      <c r="E175">
        <v>105.840553230368</v>
      </c>
      <c r="F175">
        <v>106.59723970894299</v>
      </c>
      <c r="G175">
        <v>106.029601833364</v>
      </c>
      <c r="H175">
        <v>104.432231415359</v>
      </c>
      <c r="I175">
        <v>105.602288229937</v>
      </c>
      <c r="J175">
        <v>105.478937114174</v>
      </c>
      <c r="K175">
        <v>103.24726698828501</v>
      </c>
      <c r="L175">
        <v>106.69567865709</v>
      </c>
      <c r="M175">
        <v>105.081354313655</v>
      </c>
    </row>
    <row r="176" spans="1:13" x14ac:dyDescent="0.25">
      <c r="A176" s="1">
        <v>43647</v>
      </c>
      <c r="B176">
        <v>105.542558039632</v>
      </c>
      <c r="C176">
        <v>105.448471139752</v>
      </c>
      <c r="D176">
        <v>105.627645887827</v>
      </c>
      <c r="E176">
        <v>105.853078773102</v>
      </c>
      <c r="F176">
        <v>106.632323373886</v>
      </c>
      <c r="G176">
        <v>105.907507685787</v>
      </c>
      <c r="H176">
        <v>104.436328917463</v>
      </c>
      <c r="I176">
        <v>105.68065763236299</v>
      </c>
      <c r="J176">
        <v>105.764305968326</v>
      </c>
      <c r="K176">
        <v>103.27549479128101</v>
      </c>
      <c r="L176">
        <v>106.707416389502</v>
      </c>
      <c r="M176">
        <v>105.181332237411</v>
      </c>
    </row>
    <row r="177" spans="1:13" x14ac:dyDescent="0.25">
      <c r="A177" s="1">
        <v>43678</v>
      </c>
      <c r="B177">
        <v>105.432642629271</v>
      </c>
      <c r="C177">
        <v>105.338673138884</v>
      </c>
      <c r="D177">
        <v>105.517624297742</v>
      </c>
      <c r="E177">
        <v>105.766766801526</v>
      </c>
      <c r="F177">
        <v>106.339190874295</v>
      </c>
      <c r="G177">
        <v>106.13862654645401</v>
      </c>
      <c r="H177">
        <v>104.19928257668499</v>
      </c>
      <c r="I177">
        <v>105.49841349315101</v>
      </c>
      <c r="J177">
        <v>105.643775622866</v>
      </c>
      <c r="K177">
        <v>103.31199137162901</v>
      </c>
      <c r="L177">
        <v>106.512326845076</v>
      </c>
      <c r="M177">
        <v>105.04361987687901</v>
      </c>
    </row>
    <row r="178" spans="1:13" x14ac:dyDescent="0.25">
      <c r="A178" s="1">
        <v>43709</v>
      </c>
      <c r="B178">
        <v>105.42003146493499</v>
      </c>
      <c r="C178">
        <v>105.45102497114701</v>
      </c>
      <c r="D178">
        <v>105.392002368909</v>
      </c>
      <c r="E178">
        <v>105.599239636486</v>
      </c>
      <c r="F178">
        <v>106.382905249506</v>
      </c>
      <c r="G178">
        <v>106.24733371058799</v>
      </c>
      <c r="H178">
        <v>104.099656184064</v>
      </c>
      <c r="I178">
        <v>105.22353201025901</v>
      </c>
      <c r="J178">
        <v>105.746566094748</v>
      </c>
      <c r="K178">
        <v>103.190668467997</v>
      </c>
      <c r="L178">
        <v>106.65828551378701</v>
      </c>
      <c r="M178">
        <v>105.394819813335</v>
      </c>
    </row>
    <row r="179" spans="1:13" x14ac:dyDescent="0.25">
      <c r="A179" s="1">
        <v>43739</v>
      </c>
      <c r="B179">
        <v>105.968981459124</v>
      </c>
      <c r="C179">
        <v>105.942601056418</v>
      </c>
      <c r="D179">
        <v>105.99283867733</v>
      </c>
      <c r="E179">
        <v>106.39108141436201</v>
      </c>
      <c r="F179">
        <v>107.03919055032701</v>
      </c>
      <c r="G179">
        <v>106.12428236272</v>
      </c>
      <c r="H179">
        <v>104.43054368790099</v>
      </c>
      <c r="I179">
        <v>105.740207876344</v>
      </c>
      <c r="J179">
        <v>106.120029969784</v>
      </c>
      <c r="K179">
        <v>104.438902162983</v>
      </c>
      <c r="L179">
        <v>106.974416040759</v>
      </c>
      <c r="M179">
        <v>105.818266884542</v>
      </c>
    </row>
    <row r="180" spans="1:13" x14ac:dyDescent="0.25">
      <c r="A180" s="1">
        <v>43770</v>
      </c>
      <c r="B180">
        <v>105.223281122662</v>
      </c>
      <c r="C180">
        <v>105.250981137225</v>
      </c>
      <c r="D180">
        <v>105.198230508419</v>
      </c>
      <c r="E180">
        <v>105.37027917946899</v>
      </c>
      <c r="F180">
        <v>106.290563182048</v>
      </c>
      <c r="G180">
        <v>106.023541426733</v>
      </c>
      <c r="H180">
        <v>103.863307709738</v>
      </c>
      <c r="I180">
        <v>105.371235883335</v>
      </c>
      <c r="J180">
        <v>105.38172170115899</v>
      </c>
      <c r="K180">
        <v>103.431387807581</v>
      </c>
      <c r="L180">
        <v>106.572134204669</v>
      </c>
      <c r="M180">
        <v>105.41530768495301</v>
      </c>
    </row>
    <row r="181" spans="1:13" x14ac:dyDescent="0.25">
      <c r="A181" s="1">
        <v>43800</v>
      </c>
      <c r="B181">
        <v>105.214666947918</v>
      </c>
      <c r="C181">
        <v>105.221010671231</v>
      </c>
      <c r="D181">
        <v>105.208929977449</v>
      </c>
      <c r="E181">
        <v>105.40368986998701</v>
      </c>
      <c r="F181">
        <v>106.012270090264</v>
      </c>
      <c r="G181">
        <v>106.070023543627</v>
      </c>
      <c r="H181">
        <v>103.925199911132</v>
      </c>
      <c r="I181">
        <v>105.289771928051</v>
      </c>
      <c r="J181">
        <v>105.28013514740699</v>
      </c>
      <c r="K181">
        <v>103.486257825104</v>
      </c>
      <c r="L181">
        <v>106.44638833810799</v>
      </c>
      <c r="M181">
        <v>105.69132320803099</v>
      </c>
    </row>
    <row r="182" spans="1:13" x14ac:dyDescent="0.25">
      <c r="A182" s="1">
        <v>43831</v>
      </c>
      <c r="B182">
        <v>105.453517612939</v>
      </c>
      <c r="C182">
        <v>105.437256660158</v>
      </c>
      <c r="D182">
        <v>105.468223267855</v>
      </c>
      <c r="E182">
        <v>105.71306070643099</v>
      </c>
      <c r="F182">
        <v>105.859897929665</v>
      </c>
      <c r="G182">
        <v>106.226977372202</v>
      </c>
      <c r="H182">
        <v>104.259444816799</v>
      </c>
      <c r="I182">
        <v>105.44048586412499</v>
      </c>
      <c r="J182">
        <v>105.471642319681</v>
      </c>
      <c r="K182">
        <v>103.76546326259199</v>
      </c>
      <c r="L182">
        <v>106.594350933673</v>
      </c>
      <c r="M182">
        <v>106.00766034021601</v>
      </c>
    </row>
    <row r="183" spans="1:13" x14ac:dyDescent="0.25">
      <c r="A183" s="1">
        <v>43862</v>
      </c>
      <c r="B183">
        <v>105.290675551604</v>
      </c>
      <c r="C183">
        <v>105.248329645472</v>
      </c>
      <c r="D183">
        <v>105.328971233971</v>
      </c>
      <c r="E183">
        <v>105.503004237868</v>
      </c>
      <c r="F183">
        <v>105.743329726516</v>
      </c>
      <c r="G183">
        <v>106.233955220591</v>
      </c>
      <c r="H183">
        <v>104.39147961014299</v>
      </c>
      <c r="I183">
        <v>104.97500095826901</v>
      </c>
      <c r="J183">
        <v>105.344646271328</v>
      </c>
      <c r="K183">
        <v>103.685213850173</v>
      </c>
      <c r="L183">
        <v>106.757293963083</v>
      </c>
      <c r="M183">
        <v>105.179703213401</v>
      </c>
    </row>
    <row r="184" spans="1:13" x14ac:dyDescent="0.25">
      <c r="A184" s="1">
        <v>43891</v>
      </c>
      <c r="B184">
        <v>105.49856259812201</v>
      </c>
      <c r="C184">
        <v>105.547013312768</v>
      </c>
      <c r="D184">
        <v>105.45474600879901</v>
      </c>
      <c r="E184">
        <v>105.769339728964</v>
      </c>
      <c r="F184">
        <v>106.196993674222</v>
      </c>
      <c r="G184">
        <v>106.312787118092</v>
      </c>
      <c r="H184">
        <v>104.00372781931</v>
      </c>
      <c r="I184">
        <v>105.05561729992</v>
      </c>
      <c r="J184">
        <v>105.660109306802</v>
      </c>
      <c r="K184">
        <v>103.904931353105</v>
      </c>
      <c r="L184">
        <v>106.596847057723</v>
      </c>
      <c r="M184">
        <v>105.82347690122999</v>
      </c>
    </row>
    <row r="185" spans="1:13" x14ac:dyDescent="0.25">
      <c r="A185" s="1">
        <v>43922</v>
      </c>
      <c r="B185">
        <v>106.556317848736</v>
      </c>
      <c r="C185">
        <v>105.74263384608</v>
      </c>
      <c r="D185">
        <v>107.2921760924</v>
      </c>
      <c r="E185">
        <v>107.47460503976301</v>
      </c>
      <c r="F185">
        <v>107.060954379188</v>
      </c>
      <c r="G185">
        <v>109.461177638583</v>
      </c>
      <c r="H185">
        <v>106.22192667297099</v>
      </c>
      <c r="I185">
        <v>106.39464197318701</v>
      </c>
      <c r="J185">
        <v>105.469633223912</v>
      </c>
      <c r="K185">
        <v>104.989499588953</v>
      </c>
      <c r="L185">
        <v>107.549243430526</v>
      </c>
      <c r="M185">
        <v>106.305325262624</v>
      </c>
    </row>
    <row r="186" spans="1:13" x14ac:dyDescent="0.25">
      <c r="A186" s="1">
        <v>43952</v>
      </c>
      <c r="B186">
        <v>106.279288371097</v>
      </c>
      <c r="C186">
        <v>105.73796283300899</v>
      </c>
      <c r="D186">
        <v>106.76883819437801</v>
      </c>
      <c r="E186">
        <v>107.19961661517701</v>
      </c>
      <c r="F186">
        <v>106.493487502905</v>
      </c>
      <c r="G186">
        <v>108.533280866056</v>
      </c>
      <c r="H186">
        <v>105.14408500779</v>
      </c>
      <c r="I186">
        <v>105.803498771394</v>
      </c>
      <c r="J186">
        <v>105.54296318398499</v>
      </c>
      <c r="K186">
        <v>105.127544897451</v>
      </c>
      <c r="L186">
        <v>107.614837913416</v>
      </c>
      <c r="M186">
        <v>105.769533201256</v>
      </c>
    </row>
    <row r="187" spans="1:13" x14ac:dyDescent="0.25">
      <c r="A187" s="1">
        <v>43983</v>
      </c>
      <c r="B187">
        <v>105.620553724443</v>
      </c>
      <c r="C187">
        <v>105.52378839459099</v>
      </c>
      <c r="D187">
        <v>105.70806382104099</v>
      </c>
      <c r="E187">
        <v>106.04859089063901</v>
      </c>
      <c r="F187">
        <v>105.939672872182</v>
      </c>
      <c r="G187">
        <v>107.219772107664</v>
      </c>
      <c r="H187">
        <v>103.98774557007199</v>
      </c>
      <c r="I187">
        <v>105.549849453004</v>
      </c>
      <c r="J187">
        <v>105.29479395566</v>
      </c>
      <c r="K187">
        <v>104.609180938375</v>
      </c>
      <c r="L187">
        <v>107.711733720848</v>
      </c>
      <c r="M187">
        <v>105.76081885623699</v>
      </c>
    </row>
    <row r="188" spans="1:13" x14ac:dyDescent="0.25">
      <c r="A188" s="1">
        <v>44013</v>
      </c>
      <c r="B188">
        <v>104.97346998607</v>
      </c>
      <c r="C188">
        <v>104.786179461318</v>
      </c>
      <c r="D188">
        <v>105.142846889327</v>
      </c>
      <c r="E188">
        <v>105.55906698518901</v>
      </c>
      <c r="F188">
        <v>105.17059549642499</v>
      </c>
      <c r="G188">
        <v>106.79429556631</v>
      </c>
      <c r="H188">
        <v>103.325693602849</v>
      </c>
      <c r="I188">
        <v>104.65247131765</v>
      </c>
      <c r="J188">
        <v>104.672173392562</v>
      </c>
      <c r="K188">
        <v>103.713695917019</v>
      </c>
      <c r="L188">
        <v>106.145438024833</v>
      </c>
      <c r="M188">
        <v>105.288255371471</v>
      </c>
    </row>
    <row r="189" spans="1:13" x14ac:dyDescent="0.25">
      <c r="A189" s="1">
        <v>44044</v>
      </c>
      <c r="B189">
        <v>104.633513657926</v>
      </c>
      <c r="C189">
        <v>104.516351476761</v>
      </c>
      <c r="D189">
        <v>104.73946972511401</v>
      </c>
      <c r="E189">
        <v>105.129296784464</v>
      </c>
      <c r="F189">
        <v>104.829499843089</v>
      </c>
      <c r="G189">
        <v>106.49581175754599</v>
      </c>
      <c r="H189">
        <v>102.867980371462</v>
      </c>
      <c r="I189">
        <v>104.43322334773499</v>
      </c>
      <c r="J189">
        <v>104.52843428736701</v>
      </c>
      <c r="K189">
        <v>103.200685863961</v>
      </c>
      <c r="L189">
        <v>105.546346658744</v>
      </c>
      <c r="M189">
        <v>104.941687111389</v>
      </c>
    </row>
    <row r="190" spans="1:13" x14ac:dyDescent="0.25">
      <c r="A190" s="1">
        <v>44075</v>
      </c>
      <c r="B190">
        <v>104.46970372361</v>
      </c>
      <c r="C190">
        <v>104.26329967492001</v>
      </c>
      <c r="D190">
        <v>104.65636601543</v>
      </c>
      <c r="E190">
        <v>105.020053164563</v>
      </c>
      <c r="F190">
        <v>104.69249635682201</v>
      </c>
      <c r="G190">
        <v>106.52469659168101</v>
      </c>
      <c r="H190">
        <v>102.95074461420801</v>
      </c>
      <c r="I190">
        <v>104.047607561411</v>
      </c>
      <c r="J190">
        <v>104.296110749581</v>
      </c>
      <c r="K190">
        <v>102.89157977772599</v>
      </c>
      <c r="L190">
        <v>105.24907126636</v>
      </c>
      <c r="M190">
        <v>104.683873556506</v>
      </c>
    </row>
    <row r="191" spans="1:13" x14ac:dyDescent="0.25">
      <c r="A191" s="1">
        <v>44105</v>
      </c>
      <c r="B191">
        <v>104.271965054021</v>
      </c>
      <c r="C191">
        <v>104.031740231965</v>
      </c>
      <c r="D191">
        <v>104.489213291746</v>
      </c>
      <c r="E191">
        <v>104.831643807801</v>
      </c>
      <c r="F191">
        <v>104.520358026211</v>
      </c>
      <c r="G191">
        <v>106.367476342571</v>
      </c>
      <c r="H191">
        <v>102.818294863831</v>
      </c>
      <c r="I191">
        <v>103.956426426593</v>
      </c>
      <c r="J191">
        <v>103.957098062664</v>
      </c>
      <c r="K191">
        <v>102.93435690678</v>
      </c>
      <c r="L191">
        <v>105.25702304801101</v>
      </c>
      <c r="M191">
        <v>104.484744731307</v>
      </c>
    </row>
    <row r="192" spans="1:13" x14ac:dyDescent="0.25">
      <c r="A192" s="1">
        <v>44136</v>
      </c>
      <c r="B192">
        <v>104.262857518503</v>
      </c>
      <c r="C192">
        <v>104.047113579439</v>
      </c>
      <c r="D192">
        <v>104.457966375949</v>
      </c>
      <c r="E192">
        <v>104.86204173081001</v>
      </c>
      <c r="F192">
        <v>104.453036021158</v>
      </c>
      <c r="G192">
        <v>106.29102218504499</v>
      </c>
      <c r="H192">
        <v>102.63271014825099</v>
      </c>
      <c r="I192">
        <v>103.913723870513</v>
      </c>
      <c r="J192">
        <v>103.980967214118</v>
      </c>
      <c r="K192">
        <v>103.22553510127599</v>
      </c>
      <c r="L192">
        <v>105.191685159266</v>
      </c>
      <c r="M192">
        <v>104.26120953330501</v>
      </c>
    </row>
    <row r="193" spans="1:13" x14ac:dyDescent="0.25">
      <c r="A193" s="1">
        <v>44166</v>
      </c>
      <c r="B193">
        <v>104.233025480214</v>
      </c>
      <c r="C193">
        <v>103.945307262152</v>
      </c>
      <c r="D193">
        <v>104.49322455248399</v>
      </c>
      <c r="E193">
        <v>105.019215990936</v>
      </c>
      <c r="F193">
        <v>104.68354889344501</v>
      </c>
      <c r="G193">
        <v>106.244342936843</v>
      </c>
      <c r="H193">
        <v>102.38856480332301</v>
      </c>
      <c r="I193">
        <v>103.59880191206901</v>
      </c>
      <c r="J193">
        <v>103.900248889003</v>
      </c>
      <c r="K193">
        <v>103.05863864699</v>
      </c>
      <c r="L193">
        <v>105.14265851101101</v>
      </c>
      <c r="M193">
        <v>104.0889974777</v>
      </c>
    </row>
    <row r="194" spans="1:13" x14ac:dyDescent="0.25">
      <c r="A194" s="1">
        <v>44197</v>
      </c>
      <c r="B194">
        <v>104.35409739341399</v>
      </c>
      <c r="C194">
        <v>104.15751529171401</v>
      </c>
      <c r="D194">
        <v>104.531877169864</v>
      </c>
      <c r="E194">
        <v>104.76306205409399</v>
      </c>
      <c r="F194">
        <v>104.625954256574</v>
      </c>
      <c r="G194">
        <v>106.51408283102</v>
      </c>
      <c r="H194">
        <v>103.163849604931</v>
      </c>
      <c r="I194">
        <v>103.931628614876</v>
      </c>
      <c r="J194">
        <v>104.051256045526</v>
      </c>
      <c r="K194">
        <v>103.42627824144201</v>
      </c>
      <c r="L194">
        <v>105.569276719954</v>
      </c>
      <c r="M194">
        <v>104.26204423855199</v>
      </c>
    </row>
    <row r="195" spans="1:13" x14ac:dyDescent="0.25">
      <c r="A195" s="1">
        <v>44228</v>
      </c>
      <c r="B195">
        <v>104.442113491474</v>
      </c>
      <c r="C195">
        <v>104.163854892995</v>
      </c>
      <c r="D195">
        <v>104.69375772055101</v>
      </c>
      <c r="E195">
        <v>104.870138699617</v>
      </c>
      <c r="F195">
        <v>104.864409443299</v>
      </c>
      <c r="G195">
        <v>106.583279231417</v>
      </c>
      <c r="H195">
        <v>103.493926172835</v>
      </c>
      <c r="I195">
        <v>104.130221251365</v>
      </c>
      <c r="J195">
        <v>103.98831311451499</v>
      </c>
      <c r="K195">
        <v>103.68229506961301</v>
      </c>
      <c r="L195">
        <v>105.75845611177699</v>
      </c>
      <c r="M195">
        <v>104.19886688170099</v>
      </c>
    </row>
    <row r="196" spans="1:13" x14ac:dyDescent="0.25">
      <c r="A196" s="1">
        <v>44256</v>
      </c>
      <c r="B196">
        <v>104.625301136874</v>
      </c>
      <c r="C196">
        <v>104.342873516822</v>
      </c>
      <c r="D196">
        <v>104.880715636576</v>
      </c>
      <c r="E196">
        <v>105.1797887159</v>
      </c>
      <c r="F196">
        <v>105.25192886000499</v>
      </c>
      <c r="G196">
        <v>106.461430041669</v>
      </c>
      <c r="H196">
        <v>103.445205598415</v>
      </c>
      <c r="I196">
        <v>104.096691030806</v>
      </c>
      <c r="J196">
        <v>104.209124457576</v>
      </c>
      <c r="K196">
        <v>103.37394480316399</v>
      </c>
      <c r="L196">
        <v>106.07499098278799</v>
      </c>
      <c r="M196">
        <v>104.554139777259</v>
      </c>
    </row>
    <row r="197" spans="1:13" x14ac:dyDescent="0.25">
      <c r="A197" s="1">
        <v>44287</v>
      </c>
      <c r="B197">
        <v>104.990644223591</v>
      </c>
      <c r="C197">
        <v>104.588943797798</v>
      </c>
      <c r="D197">
        <v>105.35392354189899</v>
      </c>
      <c r="E197">
        <v>105.826475290593</v>
      </c>
      <c r="F197">
        <v>105.465158202263</v>
      </c>
      <c r="G197">
        <v>106.163782612017</v>
      </c>
      <c r="H197">
        <v>103.780404059538</v>
      </c>
      <c r="I197">
        <v>104.628501801403</v>
      </c>
      <c r="J197">
        <v>104.42148319827299</v>
      </c>
      <c r="K197">
        <v>103.678139671149</v>
      </c>
      <c r="L197">
        <v>106.208437876188</v>
      </c>
      <c r="M197">
        <v>104.97754833305601</v>
      </c>
    </row>
    <row r="198" spans="1:13" x14ac:dyDescent="0.25">
      <c r="A198" s="1">
        <v>44317</v>
      </c>
      <c r="B198">
        <v>105.07814419232901</v>
      </c>
      <c r="C198">
        <v>104.606550232606</v>
      </c>
      <c r="D198">
        <v>105.504631995691</v>
      </c>
      <c r="E198">
        <v>105.899403529949</v>
      </c>
      <c r="F198">
        <v>105.60979647085399</v>
      </c>
      <c r="G198">
        <v>106.328650352685</v>
      </c>
      <c r="H198">
        <v>104.02976453598799</v>
      </c>
      <c r="I198">
        <v>105.146271868119</v>
      </c>
      <c r="J198">
        <v>104.362950784357</v>
      </c>
      <c r="K198">
        <v>104.01489566588801</v>
      </c>
      <c r="L198">
        <v>106.445632546409</v>
      </c>
      <c r="M198">
        <v>104.862264322317</v>
      </c>
    </row>
    <row r="199" spans="1:13" x14ac:dyDescent="0.25">
      <c r="A199" s="1">
        <v>44348</v>
      </c>
      <c r="B199">
        <v>104.893612561898</v>
      </c>
      <c r="C199">
        <v>104.583828476482</v>
      </c>
      <c r="D199">
        <v>105.17376698580701</v>
      </c>
      <c r="E199">
        <v>105.601322666995</v>
      </c>
      <c r="F199">
        <v>105.58932625859499</v>
      </c>
      <c r="G199">
        <v>106.421832436614</v>
      </c>
      <c r="H199">
        <v>103.247418148012</v>
      </c>
      <c r="I199">
        <v>104.97393569811599</v>
      </c>
      <c r="J199">
        <v>104.388258692919</v>
      </c>
      <c r="K199">
        <v>103.773765292932</v>
      </c>
      <c r="L199">
        <v>106.70680000030799</v>
      </c>
      <c r="M199">
        <v>104.623256945753</v>
      </c>
    </row>
    <row r="200" spans="1:13" x14ac:dyDescent="0.25">
      <c r="A200" s="1">
        <v>44378</v>
      </c>
      <c r="B200">
        <v>105.445571730997</v>
      </c>
      <c r="C200">
        <v>104.979097971808</v>
      </c>
      <c r="D200">
        <v>105.8674290614</v>
      </c>
      <c r="E200">
        <v>106.261185113306</v>
      </c>
      <c r="F200">
        <v>106.01646664056901</v>
      </c>
      <c r="G200">
        <v>106.157125083298</v>
      </c>
      <c r="H200">
        <v>104.452179551157</v>
      </c>
      <c r="I200">
        <v>105.92376260071001</v>
      </c>
      <c r="J200">
        <v>104.822378494871</v>
      </c>
      <c r="K200">
        <v>103.981991785243</v>
      </c>
      <c r="L200">
        <v>107.130532955877</v>
      </c>
      <c r="M200">
        <v>105.004090522547</v>
      </c>
    </row>
    <row r="201" spans="1:13" x14ac:dyDescent="0.25">
      <c r="A201" s="1">
        <v>44409</v>
      </c>
      <c r="B201">
        <v>105.567350745434</v>
      </c>
      <c r="C201">
        <v>105.191063812075</v>
      </c>
      <c r="D201">
        <v>105.907647274542</v>
      </c>
      <c r="E201">
        <v>106.355966218201</v>
      </c>
      <c r="F201">
        <v>105.929118527241</v>
      </c>
      <c r="G201">
        <v>106.39984418684401</v>
      </c>
      <c r="H201">
        <v>104.291728163161</v>
      </c>
      <c r="I201">
        <v>105.93892863742499</v>
      </c>
      <c r="J201">
        <v>105.05596934944199</v>
      </c>
      <c r="K201">
        <v>104.180242464619</v>
      </c>
      <c r="L201">
        <v>107.322235313948</v>
      </c>
      <c r="M201">
        <v>105.149188003128</v>
      </c>
    </row>
    <row r="202" spans="1:13" x14ac:dyDescent="0.25">
      <c r="A202" s="1">
        <v>44440</v>
      </c>
      <c r="B202">
        <v>105.583909272285</v>
      </c>
      <c r="C202">
        <v>105.240003437274</v>
      </c>
      <c r="D202">
        <v>105.89492183110499</v>
      </c>
      <c r="E202">
        <v>106.238759474231</v>
      </c>
      <c r="F202">
        <v>106.166655481468</v>
      </c>
      <c r="G202">
        <v>106.647583126093</v>
      </c>
      <c r="H202">
        <v>104.330563966677</v>
      </c>
      <c r="I202">
        <v>106.11803192504701</v>
      </c>
      <c r="J202">
        <v>104.995426733689</v>
      </c>
      <c r="K202">
        <v>104.316966896525</v>
      </c>
      <c r="L202">
        <v>107.90202025073999</v>
      </c>
      <c r="M202">
        <v>105.198513229551</v>
      </c>
    </row>
    <row r="203" spans="1:13" x14ac:dyDescent="0.25">
      <c r="A203" s="1">
        <v>44470</v>
      </c>
      <c r="B203">
        <v>105.803738133349</v>
      </c>
      <c r="C203">
        <v>105.45854685381499</v>
      </c>
      <c r="D203">
        <v>106.11591318884599</v>
      </c>
      <c r="E203">
        <v>106.644565843935</v>
      </c>
      <c r="F203">
        <v>106.177356433291</v>
      </c>
      <c r="G203">
        <v>106.71769085641201</v>
      </c>
      <c r="H203">
        <v>104.34248294373801</v>
      </c>
      <c r="I203">
        <v>105.743464144865</v>
      </c>
      <c r="J203">
        <v>105.208777702433</v>
      </c>
      <c r="K203">
        <v>104.592714241268</v>
      </c>
      <c r="L203">
        <v>108.338319512871</v>
      </c>
      <c r="M203">
        <v>105.22246537131301</v>
      </c>
    </row>
    <row r="204" spans="1:13" x14ac:dyDescent="0.25">
      <c r="A204" s="1">
        <v>44501</v>
      </c>
      <c r="B204">
        <v>106.184139015753</v>
      </c>
      <c r="C204">
        <v>105.95299848531</v>
      </c>
      <c r="D204">
        <v>106.39317183957201</v>
      </c>
      <c r="E204">
        <v>106.699767432985</v>
      </c>
      <c r="F204">
        <v>106.29847308319199</v>
      </c>
      <c r="G204">
        <v>107.02511399519101</v>
      </c>
      <c r="H204">
        <v>105.303850289362</v>
      </c>
      <c r="I204">
        <v>106.140333023675</v>
      </c>
      <c r="J204">
        <v>105.97912223490199</v>
      </c>
      <c r="K204">
        <v>104.67392365113599</v>
      </c>
      <c r="L204">
        <v>108.46689576959901</v>
      </c>
      <c r="M204">
        <v>105.17054442507499</v>
      </c>
    </row>
    <row r="205" spans="1:13" x14ac:dyDescent="0.25">
      <c r="A205" s="1">
        <v>44531</v>
      </c>
      <c r="B205">
        <v>106.255853364723</v>
      </c>
      <c r="C205">
        <v>106.114073210301</v>
      </c>
      <c r="D205">
        <v>106.384072790297</v>
      </c>
      <c r="E205">
        <v>106.63455299186001</v>
      </c>
      <c r="F205">
        <v>106.187397361263</v>
      </c>
      <c r="G205">
        <v>106.911271366382</v>
      </c>
      <c r="H205">
        <v>105.27040869719001</v>
      </c>
      <c r="I205">
        <v>106.872117778457</v>
      </c>
      <c r="J205">
        <v>106.11060191089</v>
      </c>
      <c r="K205">
        <v>105.039078894432</v>
      </c>
      <c r="L205">
        <v>108.376513997915</v>
      </c>
      <c r="M205">
        <v>105.45618060118299</v>
      </c>
    </row>
    <row r="206" spans="1:13" x14ac:dyDescent="0.25">
      <c r="A206" s="1">
        <v>44562</v>
      </c>
      <c r="B206">
        <v>107.022306333896</v>
      </c>
      <c r="C206">
        <v>106.643255903365</v>
      </c>
      <c r="D206">
        <v>107.36510204225399</v>
      </c>
      <c r="E206">
        <v>107.880386979695</v>
      </c>
      <c r="F206">
        <v>106.49044444584101</v>
      </c>
      <c r="G206">
        <v>107.42353729848701</v>
      </c>
      <c r="H206">
        <v>105.982767673366</v>
      </c>
      <c r="I206">
        <v>107.557889204267</v>
      </c>
      <c r="J206">
        <v>106.627586225824</v>
      </c>
      <c r="K206">
        <v>105.387661465703</v>
      </c>
      <c r="L206">
        <v>108.954455777992</v>
      </c>
      <c r="M206">
        <v>106.17403870432901</v>
      </c>
    </row>
    <row r="207" spans="1:13" x14ac:dyDescent="0.25">
      <c r="A207" s="1">
        <v>44593</v>
      </c>
      <c r="B207">
        <v>107.27112864588899</v>
      </c>
      <c r="C207">
        <v>106.97672582478</v>
      </c>
      <c r="D207">
        <v>107.537372964523</v>
      </c>
      <c r="E207">
        <v>108.010720895633</v>
      </c>
      <c r="F207">
        <v>106.6511172916</v>
      </c>
      <c r="G207">
        <v>107.818775337776</v>
      </c>
      <c r="H207">
        <v>106.221248965437</v>
      </c>
      <c r="I207">
        <v>107.657008292575</v>
      </c>
      <c r="J207">
        <v>106.922503688936</v>
      </c>
      <c r="K207">
        <v>105.911641137073</v>
      </c>
      <c r="L207">
        <v>109.50484028991001</v>
      </c>
      <c r="M207">
        <v>106.33357721210599</v>
      </c>
    </row>
    <row r="208" spans="1:13" x14ac:dyDescent="0.25">
      <c r="A208" s="1">
        <v>44621</v>
      </c>
      <c r="B208">
        <v>107.39173998062</v>
      </c>
      <c r="C208">
        <v>107.06503667133499</v>
      </c>
      <c r="D208">
        <v>107.68719536942599</v>
      </c>
      <c r="E208">
        <v>108.07219022453</v>
      </c>
      <c r="F208">
        <v>106.95870547791699</v>
      </c>
      <c r="G208">
        <v>108.01346815230001</v>
      </c>
      <c r="H208">
        <v>106.604326769953</v>
      </c>
      <c r="I208">
        <v>107.71420917041399</v>
      </c>
      <c r="J208">
        <v>106.93948011149701</v>
      </c>
      <c r="K208">
        <v>106.185878347223</v>
      </c>
      <c r="L208">
        <v>109.717042324364</v>
      </c>
      <c r="M208">
        <v>106.466099421264</v>
      </c>
    </row>
    <row r="209" spans="1:13" x14ac:dyDescent="0.25">
      <c r="A209" s="1">
        <v>44652</v>
      </c>
      <c r="B209">
        <v>108.029268737987</v>
      </c>
      <c r="C209">
        <v>107.503642813279</v>
      </c>
      <c r="D209">
        <v>108.504620555789</v>
      </c>
      <c r="E209">
        <v>109.033710225159</v>
      </c>
      <c r="F209">
        <v>107.24857401882301</v>
      </c>
      <c r="G209">
        <v>108.643020634504</v>
      </c>
      <c r="H209">
        <v>107.338207275801</v>
      </c>
      <c r="I209">
        <v>108.277073723546</v>
      </c>
      <c r="J209">
        <v>107.363746253801</v>
      </c>
      <c r="K209">
        <v>106.67011131439</v>
      </c>
      <c r="L209">
        <v>110.190736455815</v>
      </c>
      <c r="M209">
        <v>106.89812916211299</v>
      </c>
    </row>
    <row r="210" spans="1:13" x14ac:dyDescent="0.25">
      <c r="A210" s="1">
        <v>44682</v>
      </c>
      <c r="B210">
        <v>108.63143577183899</v>
      </c>
      <c r="C210">
        <v>108.06621595925201</v>
      </c>
      <c r="D210">
        <v>109.142594473762</v>
      </c>
      <c r="E210">
        <v>109.53945727220599</v>
      </c>
      <c r="F210">
        <v>107.681131221329</v>
      </c>
      <c r="G210">
        <v>109.38627829275801</v>
      </c>
      <c r="H210">
        <v>108.39862464689701</v>
      </c>
      <c r="I210">
        <v>108.952698889242</v>
      </c>
      <c r="J210">
        <v>107.80590776683</v>
      </c>
      <c r="K210">
        <v>107.361698016654</v>
      </c>
      <c r="L210">
        <v>110.550703632523</v>
      </c>
      <c r="M210">
        <v>108.019257190622</v>
      </c>
    </row>
    <row r="211" spans="1:13" x14ac:dyDescent="0.25">
      <c r="A211" s="1">
        <v>44713</v>
      </c>
      <c r="B211">
        <v>109.33561139901801</v>
      </c>
      <c r="C211">
        <v>108.55594258839299</v>
      </c>
      <c r="D211">
        <v>110.040707873513</v>
      </c>
      <c r="E211">
        <v>110.647979185537</v>
      </c>
      <c r="F211">
        <v>108.06741416584801</v>
      </c>
      <c r="G211">
        <v>110.19070989895999</v>
      </c>
      <c r="H211">
        <v>108.857597742626</v>
      </c>
      <c r="I211">
        <v>109.874852967791</v>
      </c>
      <c r="J211">
        <v>108.35572102160801</v>
      </c>
      <c r="K211">
        <v>107.626307533244</v>
      </c>
      <c r="L211">
        <v>110.89777234502699</v>
      </c>
      <c r="M211">
        <v>108.56550641833</v>
      </c>
    </row>
    <row r="212" spans="1:13" x14ac:dyDescent="0.25">
      <c r="A212" s="1">
        <v>44743</v>
      </c>
      <c r="B212">
        <v>109.51080679795299</v>
      </c>
      <c r="C212">
        <v>108.989118572653</v>
      </c>
      <c r="D212">
        <v>109.982597542218</v>
      </c>
      <c r="E212">
        <v>110.45790281895999</v>
      </c>
      <c r="F212">
        <v>108.911892667722</v>
      </c>
      <c r="G212">
        <v>110.10227945617601</v>
      </c>
      <c r="H212">
        <v>108.823740707897</v>
      </c>
      <c r="I212">
        <v>110.024544074313</v>
      </c>
      <c r="J212">
        <v>108.833923707276</v>
      </c>
      <c r="K212">
        <v>107.95805380282501</v>
      </c>
      <c r="L212">
        <v>111.637544943547</v>
      </c>
      <c r="M212">
        <v>108.667468599937</v>
      </c>
    </row>
    <row r="213" spans="1:13" x14ac:dyDescent="0.25">
      <c r="A213" s="1">
        <v>44774</v>
      </c>
      <c r="B213">
        <v>109.54212537178</v>
      </c>
      <c r="C213">
        <v>109.11837577051</v>
      </c>
      <c r="D213">
        <v>109.92534494636401</v>
      </c>
      <c r="E213">
        <v>110.41461864252101</v>
      </c>
      <c r="F213">
        <v>108.663487542391</v>
      </c>
      <c r="G213">
        <v>109.91286702325699</v>
      </c>
      <c r="H213">
        <v>108.904476327784</v>
      </c>
      <c r="I213">
        <v>109.814840367602</v>
      </c>
      <c r="J213">
        <v>109.145791675623</v>
      </c>
      <c r="K213">
        <v>107.916320407431</v>
      </c>
      <c r="L213">
        <v>111.135794564221</v>
      </c>
      <c r="M213">
        <v>108.628890501564</v>
      </c>
    </row>
    <row r="214" spans="1:13" x14ac:dyDescent="0.25">
      <c r="A214" s="1">
        <v>44805</v>
      </c>
      <c r="B214">
        <v>109.93309397205999</v>
      </c>
      <c r="C214">
        <v>109.720730518493</v>
      </c>
      <c r="D214">
        <v>110.125145674503</v>
      </c>
      <c r="E214">
        <v>110.618705587091</v>
      </c>
      <c r="F214">
        <v>108.432055903058</v>
      </c>
      <c r="G214">
        <v>110.510584184987</v>
      </c>
      <c r="H214">
        <v>108.908611806496</v>
      </c>
      <c r="I214">
        <v>110.453323289323</v>
      </c>
      <c r="J214">
        <v>109.81215681218301</v>
      </c>
      <c r="K214">
        <v>108.51287465084999</v>
      </c>
      <c r="L214">
        <v>111.76026683494</v>
      </c>
      <c r="M214">
        <v>108.938775270024</v>
      </c>
    </row>
    <row r="215" spans="1:13" x14ac:dyDescent="0.25">
      <c r="A215" s="1">
        <v>44835</v>
      </c>
      <c r="B215">
        <v>110.06143636367</v>
      </c>
      <c r="C215">
        <v>109.94687410981</v>
      </c>
      <c r="D215">
        <v>110.165041176645</v>
      </c>
      <c r="E215">
        <v>110.72063746294801</v>
      </c>
      <c r="F215">
        <v>108.74555072402001</v>
      </c>
      <c r="G215">
        <v>110.153052088443</v>
      </c>
      <c r="H215">
        <v>108.911573323797</v>
      </c>
      <c r="I215">
        <v>110.275047762011</v>
      </c>
      <c r="J215">
        <v>110.04802323539199</v>
      </c>
      <c r="K215">
        <v>108.522606395888</v>
      </c>
      <c r="L215">
        <v>112.03583208942899</v>
      </c>
      <c r="M215">
        <v>109.290742862458</v>
      </c>
    </row>
    <row r="216" spans="1:13" x14ac:dyDescent="0.25">
      <c r="A216" s="1">
        <v>44866</v>
      </c>
      <c r="B216">
        <v>110.05370922841</v>
      </c>
      <c r="C216">
        <v>109.917184591433</v>
      </c>
      <c r="D216">
        <v>110.177175806657</v>
      </c>
      <c r="E216">
        <v>110.77664343504701</v>
      </c>
      <c r="F216">
        <v>109.214835060788</v>
      </c>
      <c r="G216">
        <v>109.950449341233</v>
      </c>
      <c r="H216">
        <v>108.61504453684</v>
      </c>
      <c r="I216">
        <v>110.56147453205099</v>
      </c>
      <c r="J216">
        <v>109.99790452261</v>
      </c>
      <c r="K216">
        <v>108.486806498905</v>
      </c>
      <c r="L216">
        <v>112.241419467711</v>
      </c>
      <c r="M216">
        <v>109.18047335695999</v>
      </c>
    </row>
    <row r="217" spans="1:13" x14ac:dyDescent="0.25">
      <c r="A217" s="1">
        <v>44896</v>
      </c>
      <c r="B217">
        <v>110.22731694308099</v>
      </c>
      <c r="C217">
        <v>110.063293456396</v>
      </c>
      <c r="D217">
        <v>110.375652211363</v>
      </c>
      <c r="E217">
        <v>110.885475519173</v>
      </c>
      <c r="F217">
        <v>109.82117769950599</v>
      </c>
      <c r="G217">
        <v>110.216757185147</v>
      </c>
      <c r="H217">
        <v>108.919851171427</v>
      </c>
      <c r="I217">
        <v>110.75459451400801</v>
      </c>
      <c r="J217">
        <v>110.146298636686</v>
      </c>
      <c r="K217">
        <v>108.638703540085</v>
      </c>
      <c r="L217">
        <v>112.28503925001699</v>
      </c>
      <c r="M217">
        <v>109.387791290975</v>
      </c>
    </row>
    <row r="218" spans="1:13" x14ac:dyDescent="0.25">
      <c r="A218" s="1">
        <v>44927</v>
      </c>
      <c r="B218">
        <v>110.36023674933401</v>
      </c>
      <c r="C218">
        <v>110.128919871931</v>
      </c>
      <c r="D218">
        <v>110.56942905320101</v>
      </c>
      <c r="E218">
        <v>111.07141139100101</v>
      </c>
      <c r="F218">
        <v>109.546002618621</v>
      </c>
      <c r="G218">
        <v>110.042628530775</v>
      </c>
      <c r="H218">
        <v>109.46938331245001</v>
      </c>
      <c r="I218">
        <v>110.92445789931701</v>
      </c>
      <c r="J218">
        <v>110.33088345995</v>
      </c>
      <c r="K218">
        <v>108.61936971263199</v>
      </c>
      <c r="L218">
        <v>112.265527178108</v>
      </c>
      <c r="M218">
        <v>109.074896086816</v>
      </c>
    </row>
    <row r="219" spans="1:13" x14ac:dyDescent="0.25">
      <c r="A219" s="1">
        <v>44958</v>
      </c>
      <c r="B219">
        <v>110.380407616705</v>
      </c>
      <c r="C219">
        <v>110.036557527453</v>
      </c>
      <c r="D219">
        <v>110.69136976163399</v>
      </c>
      <c r="E219">
        <v>111.285935300304</v>
      </c>
      <c r="F219">
        <v>109.314831966927</v>
      </c>
      <c r="G219">
        <v>110.244243509013</v>
      </c>
      <c r="H219">
        <v>109.55337653838799</v>
      </c>
      <c r="I219">
        <v>110.62698960492</v>
      </c>
      <c r="J219">
        <v>110.110578437557</v>
      </c>
      <c r="K219">
        <v>108.628697249287</v>
      </c>
      <c r="L219">
        <v>112.479507161463</v>
      </c>
      <c r="M219">
        <v>109.219001087308</v>
      </c>
    </row>
    <row r="220" spans="1:13" x14ac:dyDescent="0.25">
      <c r="A220" s="1">
        <v>44986</v>
      </c>
      <c r="B220">
        <v>110.452138585459</v>
      </c>
      <c r="C220">
        <v>110.201067333308</v>
      </c>
      <c r="D220">
        <v>110.67919583377601</v>
      </c>
      <c r="E220">
        <v>111.28512624962001</v>
      </c>
      <c r="F220">
        <v>109.13724439727901</v>
      </c>
      <c r="G220">
        <v>110.380566755546</v>
      </c>
      <c r="H220">
        <v>109.5083495846</v>
      </c>
      <c r="I220">
        <v>110.595592781459</v>
      </c>
      <c r="J220">
        <v>110.421470715197</v>
      </c>
      <c r="K220">
        <v>108.698250468919</v>
      </c>
      <c r="L220">
        <v>112.40784596271099</v>
      </c>
      <c r="M220">
        <v>109.007026622686</v>
      </c>
    </row>
    <row r="221" spans="1:13" x14ac:dyDescent="0.25">
      <c r="A221" s="1">
        <v>45017</v>
      </c>
      <c r="B221">
        <v>110.66886501960801</v>
      </c>
      <c r="C221">
        <v>110.29018268476401</v>
      </c>
      <c r="D221">
        <v>111.011327839223</v>
      </c>
      <c r="E221">
        <v>111.584265387757</v>
      </c>
      <c r="F221">
        <v>109.614928469457</v>
      </c>
      <c r="G221">
        <v>110.160691013573</v>
      </c>
      <c r="H221">
        <v>110.076453330061</v>
      </c>
      <c r="I221">
        <v>111.061031218304</v>
      </c>
      <c r="J221">
        <v>110.374282004273</v>
      </c>
      <c r="K221">
        <v>108.94880333995</v>
      </c>
      <c r="L221">
        <v>112.612525427001</v>
      </c>
      <c r="M221">
        <v>109.455486399438</v>
      </c>
    </row>
    <row r="222" spans="1:13" x14ac:dyDescent="0.25">
      <c r="A222" s="1">
        <v>45047</v>
      </c>
      <c r="B222">
        <v>110.767591152824</v>
      </c>
      <c r="C222">
        <v>110.238911389462</v>
      </c>
      <c r="D222">
        <v>111.24570472130701</v>
      </c>
      <c r="E222">
        <v>111.787190435178</v>
      </c>
      <c r="F222">
        <v>109.92830528991701</v>
      </c>
      <c r="G222">
        <v>109.741053202351</v>
      </c>
      <c r="H222">
        <v>110.59906506125</v>
      </c>
      <c r="I222">
        <v>111.45525343025299</v>
      </c>
      <c r="J222">
        <v>110.44327621201499</v>
      </c>
      <c r="K222">
        <v>108.546787552851</v>
      </c>
      <c r="L222">
        <v>112.64032150639601</v>
      </c>
      <c r="M222">
        <v>109.149455818462</v>
      </c>
    </row>
    <row r="223" spans="1:13" x14ac:dyDescent="0.25">
      <c r="A223" s="1">
        <v>45078</v>
      </c>
      <c r="B223">
        <v>111.181541477615</v>
      </c>
      <c r="C223">
        <v>110.54361500693</v>
      </c>
      <c r="D223">
        <v>111.758452724207</v>
      </c>
      <c r="E223">
        <v>112.270457282492</v>
      </c>
      <c r="F223">
        <v>110.119707719983</v>
      </c>
      <c r="G223">
        <v>110.678580076964</v>
      </c>
      <c r="H223">
        <v>111.30539370564399</v>
      </c>
      <c r="I223">
        <v>111.515615895639</v>
      </c>
      <c r="J223">
        <v>110.676165673735</v>
      </c>
      <c r="K223">
        <v>108.658741846437</v>
      </c>
      <c r="L223">
        <v>113.005270410446</v>
      </c>
      <c r="M223">
        <v>109.907869753059</v>
      </c>
    </row>
    <row r="224" spans="1:13" x14ac:dyDescent="0.25">
      <c r="A224" s="1">
        <v>45108</v>
      </c>
      <c r="B224">
        <v>111.780858152468</v>
      </c>
      <c r="C224">
        <v>110.998739753023</v>
      </c>
      <c r="D224">
        <v>112.488169921992</v>
      </c>
      <c r="E224">
        <v>113.16818441015801</v>
      </c>
      <c r="F224">
        <v>110.639047947091</v>
      </c>
      <c r="G224">
        <v>111.042670249414</v>
      </c>
      <c r="H224">
        <v>111.746443639703</v>
      </c>
      <c r="I224">
        <v>112.243345151485</v>
      </c>
      <c r="J224">
        <v>111.104845872084</v>
      </c>
      <c r="K224">
        <v>109.43259413619499</v>
      </c>
      <c r="L224">
        <v>113.355445154777</v>
      </c>
      <c r="M224">
        <v>110.255076120051</v>
      </c>
    </row>
    <row r="225" spans="1:13" x14ac:dyDescent="0.25">
      <c r="A225" s="1">
        <v>45139</v>
      </c>
      <c r="B225">
        <v>112.343081099914</v>
      </c>
      <c r="C225">
        <v>111.388817051998</v>
      </c>
      <c r="D225">
        <v>113.206073445835</v>
      </c>
      <c r="E225">
        <v>114.011560906743</v>
      </c>
      <c r="F225">
        <v>111.136675521775</v>
      </c>
      <c r="G225">
        <v>111.655534310406</v>
      </c>
      <c r="H225">
        <v>112.20570284524101</v>
      </c>
      <c r="I225">
        <v>112.943011795678</v>
      </c>
      <c r="J225">
        <v>111.37669841475901</v>
      </c>
      <c r="K225">
        <v>110.10497917519</v>
      </c>
      <c r="L225">
        <v>113.69358335890701</v>
      </c>
      <c r="M225">
        <v>110.93563614717</v>
      </c>
    </row>
    <row r="226" spans="1:13" x14ac:dyDescent="0.25">
      <c r="A226" s="1">
        <v>45170</v>
      </c>
      <c r="B226">
        <v>112.385606673683</v>
      </c>
      <c r="C226">
        <v>111.36789825307</v>
      </c>
      <c r="D226">
        <v>113.30597518099999</v>
      </c>
      <c r="E226">
        <v>114.12684052230701</v>
      </c>
      <c r="F226">
        <v>111.549346911668</v>
      </c>
      <c r="G226">
        <v>111.673004316141</v>
      </c>
      <c r="H226">
        <v>111.938426625006</v>
      </c>
      <c r="I226">
        <v>113.69269471015799</v>
      </c>
      <c r="J226">
        <v>111.42374189786599</v>
      </c>
      <c r="K226">
        <v>110.19978244682</v>
      </c>
      <c r="L226">
        <v>113.83243831652899</v>
      </c>
      <c r="M226">
        <v>110.38634081247601</v>
      </c>
    </row>
    <row r="227" spans="1:13" x14ac:dyDescent="0.25">
      <c r="A227" s="1">
        <v>45200</v>
      </c>
      <c r="B227">
        <v>112.188911619948</v>
      </c>
      <c r="C227">
        <v>111.260386201641</v>
      </c>
      <c r="D227">
        <v>113.028627137619</v>
      </c>
      <c r="E227">
        <v>113.913476778126</v>
      </c>
      <c r="F227">
        <v>111.469543802122</v>
      </c>
      <c r="G227">
        <v>111.518529764387</v>
      </c>
      <c r="H227">
        <v>111.262338241218</v>
      </c>
      <c r="I227">
        <v>113.624576280345</v>
      </c>
      <c r="J227">
        <v>111.434266521868</v>
      </c>
      <c r="K227">
        <v>109.70973752254601</v>
      </c>
      <c r="L227">
        <v>113.731053041717</v>
      </c>
      <c r="M227">
        <v>110.11869139492801</v>
      </c>
    </row>
    <row r="228" spans="1:13" x14ac:dyDescent="0.25">
      <c r="A228" s="1">
        <v>45231</v>
      </c>
      <c r="B228">
        <v>111.74105392694101</v>
      </c>
      <c r="C228">
        <v>110.907740844136</v>
      </c>
      <c r="D228">
        <v>112.49466380440199</v>
      </c>
      <c r="E228">
        <v>113.361766890943</v>
      </c>
      <c r="F228">
        <v>111.216890638276</v>
      </c>
      <c r="G228">
        <v>110.959612856326</v>
      </c>
      <c r="H228">
        <v>110.646197167945</v>
      </c>
      <c r="I228">
        <v>113.219271840215</v>
      </c>
      <c r="J228">
        <v>111.182620234308</v>
      </c>
      <c r="K228">
        <v>108.790113705416</v>
      </c>
      <c r="L228">
        <v>113.33015934801099</v>
      </c>
      <c r="M228">
        <v>109.89674997788801</v>
      </c>
    </row>
    <row r="229" spans="1:13" x14ac:dyDescent="0.25">
      <c r="A229" s="1">
        <v>45261</v>
      </c>
      <c r="B229">
        <v>111.715101416755</v>
      </c>
      <c r="C229">
        <v>111.016013810986</v>
      </c>
      <c r="D229">
        <v>112.34732397006501</v>
      </c>
      <c r="E229">
        <v>113.24008161635901</v>
      </c>
      <c r="F229">
        <v>111.144068598112</v>
      </c>
      <c r="G229">
        <v>110.806411954361</v>
      </c>
      <c r="H229">
        <v>110.37342842048901</v>
      </c>
      <c r="I229">
        <v>113.131149884827</v>
      </c>
      <c r="J229">
        <v>111.422128988913</v>
      </c>
      <c r="K229">
        <v>108.669603637394</v>
      </c>
      <c r="L229">
        <v>113.256327796142</v>
      </c>
      <c r="M229">
        <v>109.781768407238</v>
      </c>
    </row>
    <row r="230" spans="1:13" x14ac:dyDescent="0.25">
      <c r="A230" s="1">
        <v>45292</v>
      </c>
      <c r="B230">
        <v>111.85513148675101</v>
      </c>
      <c r="C230">
        <v>110.869794361252</v>
      </c>
      <c r="D230">
        <v>112.746224889373</v>
      </c>
      <c r="E230">
        <v>113.401577751597</v>
      </c>
      <c r="F230">
        <v>112.45920910387601</v>
      </c>
      <c r="G230">
        <v>111.32740476152701</v>
      </c>
      <c r="H230">
        <v>111.104529490977</v>
      </c>
      <c r="I230">
        <v>113.60047871939599</v>
      </c>
      <c r="J230">
        <v>111.15934247790101</v>
      </c>
      <c r="K230">
        <v>108.86182353602899</v>
      </c>
      <c r="L230">
        <v>113.402652222283</v>
      </c>
      <c r="M230">
        <v>109.607436534995</v>
      </c>
    </row>
    <row r="231" spans="1:13" x14ac:dyDescent="0.25">
      <c r="A231" s="1">
        <v>45323</v>
      </c>
      <c r="B231">
        <v>111.958952108953</v>
      </c>
      <c r="C231">
        <v>111.126930390605</v>
      </c>
      <c r="D231">
        <v>112.711394136023</v>
      </c>
      <c r="E231">
        <v>113.520979894002</v>
      </c>
      <c r="F231">
        <v>112.034124290238</v>
      </c>
      <c r="G231">
        <v>111.07400604595</v>
      </c>
      <c r="H231">
        <v>110.885215047101</v>
      </c>
      <c r="I231">
        <v>113.402018740492</v>
      </c>
      <c r="J231">
        <v>111.36125413739499</v>
      </c>
      <c r="K231">
        <v>109.217939885557</v>
      </c>
      <c r="L231">
        <v>113.835466561822</v>
      </c>
      <c r="M231">
        <v>109.881768743691</v>
      </c>
    </row>
    <row r="232" spans="1:13" x14ac:dyDescent="0.25">
      <c r="A232" s="1">
        <v>45352</v>
      </c>
      <c r="B232">
        <v>112.281439749787</v>
      </c>
      <c r="C232">
        <v>111.11835396651</v>
      </c>
      <c r="D232">
        <v>113.333280831728</v>
      </c>
      <c r="E232">
        <v>114.03123183429901</v>
      </c>
      <c r="F232">
        <v>112.521794889294</v>
      </c>
      <c r="G232">
        <v>111.296383555307</v>
      </c>
      <c r="H232">
        <v>112.023758505762</v>
      </c>
      <c r="I232">
        <v>114.14735778114</v>
      </c>
      <c r="J232">
        <v>111.171351939722</v>
      </c>
      <c r="K232">
        <v>109.408192065892</v>
      </c>
      <c r="L232">
        <v>114.102674905143</v>
      </c>
      <c r="M232">
        <v>110.27496114631199</v>
      </c>
    </row>
    <row r="233" spans="1:13" x14ac:dyDescent="0.25">
      <c r="A233" s="1">
        <v>45383</v>
      </c>
      <c r="B233">
        <v>113.71089463843801</v>
      </c>
      <c r="C233">
        <v>112.492029795401</v>
      </c>
      <c r="D233">
        <v>114.813179726668</v>
      </c>
      <c r="E233">
        <v>115.673554164913</v>
      </c>
      <c r="F233">
        <v>113.431579465132</v>
      </c>
      <c r="G233">
        <v>112.73348885146601</v>
      </c>
      <c r="H233">
        <v>113.40647873745201</v>
      </c>
      <c r="I233">
        <v>115.133591790747</v>
      </c>
      <c r="J233">
        <v>112.72060609678699</v>
      </c>
      <c r="K233">
        <v>110.606441178043</v>
      </c>
      <c r="L233">
        <v>115.639681994485</v>
      </c>
      <c r="M233">
        <v>110.92104978794799</v>
      </c>
    </row>
    <row r="234" spans="1:13" x14ac:dyDescent="0.25">
      <c r="A234" s="1">
        <v>45413</v>
      </c>
      <c r="B234">
        <v>113.57535802608901</v>
      </c>
      <c r="C234">
        <v>112.420941328838</v>
      </c>
      <c r="D234">
        <v>114.61935918688501</v>
      </c>
      <c r="E234">
        <v>115.485231487767</v>
      </c>
      <c r="F234">
        <v>113.288076438172</v>
      </c>
      <c r="G234">
        <v>112.515949996749</v>
      </c>
      <c r="H234">
        <v>113.213589590455</v>
      </c>
      <c r="I234">
        <v>114.87172536460901</v>
      </c>
      <c r="J234">
        <v>112.678968863037</v>
      </c>
      <c r="K234">
        <v>110.63022363306899</v>
      </c>
      <c r="L234">
        <v>115.34772086629199</v>
      </c>
      <c r="M234">
        <v>110.795770687733</v>
      </c>
    </row>
    <row r="235" spans="1:13" x14ac:dyDescent="0.25">
      <c r="A235" s="1">
        <v>45444</v>
      </c>
      <c r="B235">
        <v>112.494039825892</v>
      </c>
      <c r="C235">
        <v>111.62296068335399</v>
      </c>
      <c r="D235">
        <v>113.281803584092</v>
      </c>
      <c r="E235">
        <v>113.89746773122999</v>
      </c>
      <c r="F235">
        <v>112.49761594848999</v>
      </c>
      <c r="G235">
        <v>111.31759412776201</v>
      </c>
      <c r="H235">
        <v>111.798791387037</v>
      </c>
      <c r="I235">
        <v>115.126021427018</v>
      </c>
      <c r="J235">
        <v>111.531657208002</v>
      </c>
      <c r="K235">
        <v>110.668587473784</v>
      </c>
      <c r="L235">
        <v>115.214313122219</v>
      </c>
      <c r="M235">
        <v>110.24140285095601</v>
      </c>
    </row>
    <row r="236" spans="1:13" x14ac:dyDescent="0.25">
      <c r="A236" s="1">
        <v>45474</v>
      </c>
      <c r="B236">
        <v>113.540676380544</v>
      </c>
      <c r="C236">
        <v>112.531172706655</v>
      </c>
      <c r="D236">
        <v>114.453624893743</v>
      </c>
      <c r="E236">
        <v>115.510775667621</v>
      </c>
      <c r="F236">
        <v>113.397995567734</v>
      </c>
      <c r="G236">
        <v>112.704435744273</v>
      </c>
      <c r="H236">
        <v>112.36464673395901</v>
      </c>
      <c r="I236">
        <v>114.28891659699499</v>
      </c>
      <c r="J236">
        <v>112.73935314648401</v>
      </c>
      <c r="K236">
        <v>110.126159191444</v>
      </c>
      <c r="L236">
        <v>116.30824313676899</v>
      </c>
      <c r="M236">
        <v>111.071918261592</v>
      </c>
    </row>
    <row r="237" spans="1:13" x14ac:dyDescent="0.25">
      <c r="A237" s="1">
        <v>45505</v>
      </c>
      <c r="B237">
        <v>113.78625520598</v>
      </c>
      <c r="C237">
        <v>112.87917915010701</v>
      </c>
      <c r="D237">
        <v>114.606572910599</v>
      </c>
      <c r="E237">
        <v>115.311887184189</v>
      </c>
      <c r="F237">
        <v>113.44085560904701</v>
      </c>
      <c r="G237">
        <v>112.96158159951</v>
      </c>
      <c r="H237">
        <v>113.276315999529</v>
      </c>
      <c r="I237">
        <v>115.30332147288701</v>
      </c>
      <c r="J237">
        <v>113.047289772723</v>
      </c>
      <c r="K237">
        <v>110.987772841162</v>
      </c>
      <c r="L237">
        <v>116.35315487149001</v>
      </c>
      <c r="M237">
        <v>111.33517297431899</v>
      </c>
    </row>
    <row r="238" spans="1:13" x14ac:dyDescent="0.25">
      <c r="A238" s="1">
        <v>45536</v>
      </c>
      <c r="B238">
        <v>113.98680824373299</v>
      </c>
      <c r="C238">
        <v>113.163699223154</v>
      </c>
      <c r="D238">
        <v>114.73119003844501</v>
      </c>
      <c r="E238">
        <v>115.66554653796</v>
      </c>
      <c r="F238">
        <v>113.852835645735</v>
      </c>
      <c r="G238">
        <v>112.819027648863</v>
      </c>
      <c r="H238">
        <v>112.898111461515</v>
      </c>
      <c r="I238">
        <v>114.914374157727</v>
      </c>
      <c r="J238">
        <v>113.346228877226</v>
      </c>
      <c r="K238">
        <v>111.170750587999</v>
      </c>
      <c r="L238">
        <v>116.731022933923</v>
      </c>
      <c r="M238">
        <v>111.582853026755</v>
      </c>
    </row>
    <row r="239" spans="1:13" x14ac:dyDescent="0.25">
      <c r="A239" s="1">
        <v>45566</v>
      </c>
      <c r="B239">
        <v>113.715195605386</v>
      </c>
      <c r="C239">
        <v>113.01474424778399</v>
      </c>
      <c r="D239">
        <v>114.34865147289</v>
      </c>
      <c r="E239">
        <v>115.253858752496</v>
      </c>
      <c r="F239">
        <v>113.352304937925</v>
      </c>
      <c r="G239">
        <v>112.80232663131299</v>
      </c>
      <c r="H239">
        <v>112.43859621954699</v>
      </c>
      <c r="I239">
        <v>114.672139482516</v>
      </c>
      <c r="J239">
        <v>113.14121575998701</v>
      </c>
      <c r="K239">
        <v>110.65823600785799</v>
      </c>
      <c r="L239">
        <v>116.45563973226901</v>
      </c>
      <c r="M239">
        <v>112.120401146109</v>
      </c>
    </row>
    <row r="240" spans="1:13" x14ac:dyDescent="0.25">
      <c r="A240" s="1">
        <v>45597</v>
      </c>
      <c r="B240">
        <v>113.424094792498</v>
      </c>
      <c r="C240">
        <v>112.708312752043</v>
      </c>
      <c r="D240">
        <v>114.071415021745</v>
      </c>
      <c r="E240">
        <v>114.86454383902201</v>
      </c>
      <c r="F240">
        <v>112.812622956637</v>
      </c>
      <c r="G240">
        <v>112.71033196147</v>
      </c>
      <c r="H240">
        <v>112.414558242691</v>
      </c>
      <c r="I240">
        <v>114.679769979553</v>
      </c>
      <c r="J240">
        <v>112.955875035996</v>
      </c>
      <c r="K240">
        <v>110.744443839111</v>
      </c>
      <c r="L240">
        <v>116.18770420031601</v>
      </c>
      <c r="M240">
        <v>110.879784430161</v>
      </c>
    </row>
    <row r="241" spans="1:13" x14ac:dyDescent="0.25">
      <c r="A241" s="1">
        <v>45627</v>
      </c>
      <c r="B241">
        <v>112.30626377954199</v>
      </c>
      <c r="C241">
        <v>112.492824769682</v>
      </c>
      <c r="D241">
        <v>112.137546633707</v>
      </c>
      <c r="E241">
        <v>112.78969160598299</v>
      </c>
      <c r="F241">
        <v>111.18156839392699</v>
      </c>
      <c r="G241">
        <v>110.482643666171</v>
      </c>
      <c r="H241">
        <v>110.22212599434999</v>
      </c>
      <c r="I241">
        <v>114.642109728075</v>
      </c>
      <c r="J241">
        <v>113.27293107894501</v>
      </c>
      <c r="K241">
        <v>109.702240556898</v>
      </c>
      <c r="L241">
        <v>115.31968891398699</v>
      </c>
      <c r="M241">
        <v>109.597034694418</v>
      </c>
    </row>
    <row r="242" spans="1:13" x14ac:dyDescent="0.25">
      <c r="A242" s="1">
        <v>45658</v>
      </c>
      <c r="B242">
        <v>112.14217977536801</v>
      </c>
      <c r="C242">
        <v>111.91230464143401</v>
      </c>
      <c r="D242">
        <v>112.350068233009</v>
      </c>
      <c r="E242">
        <v>113.07832185693</v>
      </c>
      <c r="F242">
        <v>111.70488956785</v>
      </c>
      <c r="G242">
        <v>110.371532336589</v>
      </c>
      <c r="H242">
        <v>110.743201174631</v>
      </c>
      <c r="I242">
        <v>113.48328082572</v>
      </c>
      <c r="J242">
        <v>112.41861115</v>
      </c>
      <c r="K242">
        <v>109.264748280066</v>
      </c>
      <c r="L242">
        <v>115.15282074912</v>
      </c>
      <c r="M242">
        <v>109.77459664468201</v>
      </c>
    </row>
  </sheetData>
  <autoFilter ref="A1:C242" xr:uid="{F9508B9D-6E75-42F7-956F-45240F6CFDC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C946-22F3-432F-B52B-0AA878405282}">
  <dimension ref="A3:M24"/>
  <sheetViews>
    <sheetView workbookViewId="0">
      <selection activeCell="L4" sqref="L4"/>
    </sheetView>
  </sheetViews>
  <sheetFormatPr defaultRowHeight="15" x14ac:dyDescent="0.25"/>
  <cols>
    <col min="1" max="1" width="13.140625" bestFit="1" customWidth="1"/>
    <col min="2" max="2" width="18.7109375" bestFit="1" customWidth="1"/>
    <col min="3" max="3" width="16.140625" bestFit="1" customWidth="1"/>
    <col min="4" max="4" width="15.7109375" bestFit="1" customWidth="1"/>
    <col min="5" max="5" width="20.28515625" bestFit="1" customWidth="1"/>
    <col min="6" max="6" width="21.42578125" bestFit="1" customWidth="1"/>
    <col min="7" max="7" width="18.7109375" bestFit="1" customWidth="1"/>
    <col min="8" max="8" width="16.85546875" bestFit="1" customWidth="1"/>
    <col min="9" max="9" width="23.28515625" bestFit="1" customWidth="1"/>
    <col min="10" max="10" width="16.140625" bestFit="1" customWidth="1"/>
    <col min="11" max="11" width="14.7109375" bestFit="1" customWidth="1"/>
    <col min="12" max="12" width="17.7109375" bestFit="1" customWidth="1"/>
    <col min="13" max="13" width="18.28515625" bestFit="1" customWidth="1"/>
  </cols>
  <sheetData>
    <row r="3" spans="1:13" x14ac:dyDescent="0.25">
      <c r="A3" s="2" t="s">
        <v>20</v>
      </c>
      <c r="B3" t="s">
        <v>43</v>
      </c>
      <c r="C3" t="s">
        <v>44</v>
      </c>
      <c r="D3" t="s">
        <v>45</v>
      </c>
      <c r="E3" t="s">
        <v>46</v>
      </c>
      <c r="F3" t="s">
        <v>42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</row>
    <row r="4" spans="1:13" x14ac:dyDescent="0.25">
      <c r="A4" s="3" t="s">
        <v>21</v>
      </c>
      <c r="B4" s="4">
        <v>68.132750059676482</v>
      </c>
      <c r="C4" s="4">
        <v>67.632828610079756</v>
      </c>
      <c r="D4" s="4">
        <v>68.704217412367157</v>
      </c>
      <c r="E4" s="4">
        <v>71.238441870592126</v>
      </c>
      <c r="F4" s="4">
        <v>66.896773097367756</v>
      </c>
      <c r="G4" s="4">
        <v>65.797240075188157</v>
      </c>
      <c r="H4" s="4">
        <v>64.762763169231377</v>
      </c>
      <c r="I4" s="4"/>
      <c r="J4" s="4">
        <v>68.461639790470812</v>
      </c>
      <c r="K4" s="4">
        <v>66.555300933127043</v>
      </c>
      <c r="L4" s="4">
        <v>69.212266495263023</v>
      </c>
      <c r="M4" s="4">
        <v>65.493476165298873</v>
      </c>
    </row>
    <row r="5" spans="1:13" x14ac:dyDescent="0.25">
      <c r="A5" s="3" t="s">
        <v>22</v>
      </c>
      <c r="B5" s="4">
        <v>70.38027810478502</v>
      </c>
      <c r="C5" s="4">
        <v>69.975507449110239</v>
      </c>
      <c r="D5" s="4">
        <v>70.837389267691691</v>
      </c>
      <c r="E5" s="4">
        <v>72.950340593165777</v>
      </c>
      <c r="F5" s="4">
        <v>69.70175002346852</v>
      </c>
      <c r="G5" s="4">
        <v>67.575915935102714</v>
      </c>
      <c r="H5" s="4">
        <v>67.42599579364969</v>
      </c>
      <c r="I5" s="4"/>
      <c r="J5" s="4">
        <v>70.754834470848778</v>
      </c>
      <c r="K5" s="4">
        <v>69.481532456949452</v>
      </c>
      <c r="L5" s="4">
        <v>71.11481662953237</v>
      </c>
      <c r="M5" s="4">
        <v>67.609281390893628</v>
      </c>
    </row>
    <row r="6" spans="1:13" x14ac:dyDescent="0.25">
      <c r="A6" s="3" t="s">
        <v>23</v>
      </c>
      <c r="B6" s="4">
        <v>71.982263283142728</v>
      </c>
      <c r="C6" s="4">
        <v>71.692341140604555</v>
      </c>
      <c r="D6" s="4">
        <v>72.302555442448821</v>
      </c>
      <c r="E6" s="4">
        <v>74.192927874786193</v>
      </c>
      <c r="F6" s="4">
        <v>71.499393839887901</v>
      </c>
      <c r="G6" s="4">
        <v>69.264714577432741</v>
      </c>
      <c r="H6" s="4">
        <v>69.07824391279685</v>
      </c>
      <c r="I6" s="4"/>
      <c r="J6" s="4">
        <v>72.284569507964036</v>
      </c>
      <c r="K6" s="4">
        <v>71.866001985095949</v>
      </c>
      <c r="L6" s="4">
        <v>72.759933768100197</v>
      </c>
      <c r="M6" s="4">
        <v>69.234439447038923</v>
      </c>
    </row>
    <row r="7" spans="1:13" x14ac:dyDescent="0.25">
      <c r="A7" s="3" t="s">
        <v>24</v>
      </c>
      <c r="B7" s="4">
        <v>78.028842458619863</v>
      </c>
      <c r="C7" s="4">
        <v>77.64661187896462</v>
      </c>
      <c r="D7" s="4">
        <v>78.457019274738485</v>
      </c>
      <c r="E7" s="4">
        <v>79.769020294108358</v>
      </c>
      <c r="F7" s="4">
        <v>78.570955065275129</v>
      </c>
      <c r="G7" s="4">
        <v>75.880463725700267</v>
      </c>
      <c r="H7" s="4">
        <v>75.701256160844309</v>
      </c>
      <c r="I7" s="4"/>
      <c r="J7" s="4">
        <v>78.054462133140461</v>
      </c>
      <c r="K7" s="4">
        <v>78.386822342325971</v>
      </c>
      <c r="L7" s="4">
        <v>78.469852970311976</v>
      </c>
      <c r="M7" s="4">
        <v>75.268276007030465</v>
      </c>
    </row>
    <row r="8" spans="1:13" x14ac:dyDescent="0.25">
      <c r="A8" s="3" t="s">
        <v>25</v>
      </c>
      <c r="B8" s="4">
        <v>82.055105987951393</v>
      </c>
      <c r="C8" s="4">
        <v>81.630222766771851</v>
      </c>
      <c r="D8" s="4">
        <v>82.532701263960945</v>
      </c>
      <c r="E8" s="4">
        <v>83.125985365859265</v>
      </c>
      <c r="F8" s="4">
        <v>83.30585177945845</v>
      </c>
      <c r="G8" s="4">
        <v>80.793765057640712</v>
      </c>
      <c r="H8" s="4">
        <v>80.747673615612541</v>
      </c>
      <c r="I8" s="4"/>
      <c r="J8" s="4">
        <v>81.923782397905541</v>
      </c>
      <c r="K8" s="4">
        <v>82.694225617501004</v>
      </c>
      <c r="L8" s="4">
        <v>82.561947006234533</v>
      </c>
      <c r="M8" s="4">
        <v>79.204672547928936</v>
      </c>
    </row>
    <row r="9" spans="1:13" x14ac:dyDescent="0.25">
      <c r="A9" s="3" t="s">
        <v>26</v>
      </c>
      <c r="B9" s="4">
        <v>84.971654086159575</v>
      </c>
      <c r="C9" s="4">
        <v>84.542152698265838</v>
      </c>
      <c r="D9" s="4">
        <v>85.453731651121061</v>
      </c>
      <c r="E9" s="4">
        <v>85.693607263856734</v>
      </c>
      <c r="F9" s="4">
        <v>86.584761211707871</v>
      </c>
      <c r="G9" s="4">
        <v>84.172497064360186</v>
      </c>
      <c r="H9" s="4">
        <v>84.100826773712257</v>
      </c>
      <c r="I9" s="4"/>
      <c r="J9" s="4">
        <v>84.835720158946785</v>
      </c>
      <c r="K9" s="4">
        <v>85.531284603726348</v>
      </c>
      <c r="L9" s="4">
        <v>84.885175576749958</v>
      </c>
      <c r="M9" s="4">
        <v>82.465962793351324</v>
      </c>
    </row>
    <row r="10" spans="1:13" x14ac:dyDescent="0.25">
      <c r="A10" s="3" t="s">
        <v>27</v>
      </c>
      <c r="B10" s="4">
        <v>88.773738498252229</v>
      </c>
      <c r="C10" s="4">
        <v>88.278243768380037</v>
      </c>
      <c r="D10" s="4">
        <v>89.333127498412409</v>
      </c>
      <c r="E10" s="4">
        <v>89.765295788504361</v>
      </c>
      <c r="F10" s="4">
        <v>89.991301682846654</v>
      </c>
      <c r="G10" s="4">
        <v>88.011701352195175</v>
      </c>
      <c r="H10" s="4">
        <v>87.953746846837134</v>
      </c>
      <c r="I10" s="4"/>
      <c r="J10" s="4">
        <v>88.016152649047697</v>
      </c>
      <c r="K10" s="4">
        <v>89.386268822022942</v>
      </c>
      <c r="L10" s="4">
        <v>88.638859859934868</v>
      </c>
      <c r="M10" s="4">
        <v>87.665796222640438</v>
      </c>
    </row>
    <row r="11" spans="1:13" x14ac:dyDescent="0.25">
      <c r="A11" s="3" t="s">
        <v>28</v>
      </c>
      <c r="B11" s="4">
        <v>93.302727676402995</v>
      </c>
      <c r="C11" s="4">
        <v>92.860992371814447</v>
      </c>
      <c r="D11" s="4">
        <v>93.796467439880075</v>
      </c>
      <c r="E11" s="4">
        <v>93.618465571350768</v>
      </c>
      <c r="F11" s="4">
        <v>94.712539545669685</v>
      </c>
      <c r="G11" s="4">
        <v>92.712711121611463</v>
      </c>
      <c r="H11" s="4">
        <v>93.66231738867053</v>
      </c>
      <c r="I11" s="4"/>
      <c r="J11" s="4">
        <v>92.86444862431226</v>
      </c>
      <c r="K11" s="4">
        <v>93.193391468281007</v>
      </c>
      <c r="L11" s="4">
        <v>92.416374033201393</v>
      </c>
      <c r="M11" s="4">
        <v>92.627425970848222</v>
      </c>
    </row>
    <row r="12" spans="1:13" x14ac:dyDescent="0.25">
      <c r="A12" s="3" t="s">
        <v>29</v>
      </c>
      <c r="B12" s="4">
        <v>95.842218717676303</v>
      </c>
      <c r="C12" s="4">
        <v>95.455093094302399</v>
      </c>
      <c r="D12" s="4">
        <v>96.269992522679033</v>
      </c>
      <c r="E12" s="4">
        <v>95.976544918897289</v>
      </c>
      <c r="F12" s="4">
        <v>97.031927515270596</v>
      </c>
      <c r="G12" s="4">
        <v>95.866029267218039</v>
      </c>
      <c r="H12" s="4">
        <v>96.39007374379436</v>
      </c>
      <c r="I12" s="4"/>
      <c r="J12" s="4">
        <v>95.514805624769679</v>
      </c>
      <c r="K12" s="4">
        <v>95.492566963761462</v>
      </c>
      <c r="L12" s="4">
        <v>95.485763593468377</v>
      </c>
      <c r="M12" s="4">
        <v>95.122520513678481</v>
      </c>
    </row>
    <row r="13" spans="1:13" x14ac:dyDescent="0.25">
      <c r="A13" s="3" t="s">
        <v>30</v>
      </c>
      <c r="B13" s="4">
        <v>99.282206959592727</v>
      </c>
      <c r="C13" s="4">
        <v>98.950307168440006</v>
      </c>
      <c r="D13" s="4">
        <v>99.642965299293181</v>
      </c>
      <c r="E13" s="4">
        <v>99.538620914781617</v>
      </c>
      <c r="F13" s="4">
        <v>99.251629870362592</v>
      </c>
      <c r="G13" s="4">
        <v>99.103980091801859</v>
      </c>
      <c r="H13" s="4">
        <v>100.42466313219118</v>
      </c>
      <c r="I13" s="4"/>
      <c r="J13" s="4">
        <v>99.165805150520157</v>
      </c>
      <c r="K13" s="4">
        <v>98.569825311086348</v>
      </c>
      <c r="L13" s="4">
        <v>99.036061539672588</v>
      </c>
      <c r="M13" s="4">
        <v>98.552594147515777</v>
      </c>
    </row>
    <row r="14" spans="1:13" x14ac:dyDescent="0.25">
      <c r="A14" s="3" t="s">
        <v>31</v>
      </c>
      <c r="B14" s="4">
        <v>103.22038088155142</v>
      </c>
      <c r="C14" s="4">
        <v>102.90848813816318</v>
      </c>
      <c r="D14" s="4">
        <v>103.50244227837334</v>
      </c>
      <c r="E14" s="4">
        <v>103.385430997722</v>
      </c>
      <c r="F14" s="4">
        <v>103.83884798721033</v>
      </c>
      <c r="G14" s="4">
        <v>103.20594755063549</v>
      </c>
      <c r="H14" s="4">
        <v>103.5896453484026</v>
      </c>
      <c r="I14" s="4">
        <v>104.25342225122326</v>
      </c>
      <c r="J14" s="4">
        <v>102.83804488355158</v>
      </c>
      <c r="K14" s="4">
        <v>102.8652094107256</v>
      </c>
      <c r="L14" s="4">
        <v>103.23523890134724</v>
      </c>
      <c r="M14" s="4">
        <v>103.01459391208668</v>
      </c>
    </row>
    <row r="15" spans="1:13" x14ac:dyDescent="0.25">
      <c r="A15" s="3" t="s">
        <v>32</v>
      </c>
      <c r="B15" s="4">
        <v>105.00430221862838</v>
      </c>
      <c r="C15" s="4">
        <v>104.7046679504469</v>
      </c>
      <c r="D15" s="4">
        <v>105.27527761645581</v>
      </c>
      <c r="E15" s="4">
        <v>105.15814096494258</v>
      </c>
      <c r="F15" s="4">
        <v>106.90774431308682</v>
      </c>
      <c r="G15" s="4">
        <v>105.94117549535609</v>
      </c>
      <c r="H15" s="4">
        <v>104.6540742214671</v>
      </c>
      <c r="I15" s="4">
        <v>105.60251161562668</v>
      </c>
      <c r="J15" s="4">
        <v>104.63207555353682</v>
      </c>
      <c r="K15" s="4">
        <v>104.13858656137633</v>
      </c>
      <c r="L15" s="4">
        <v>105.47546841385589</v>
      </c>
      <c r="M15" s="4">
        <v>104.98431108278017</v>
      </c>
    </row>
    <row r="16" spans="1:13" x14ac:dyDescent="0.25">
      <c r="A16" s="3" t="s">
        <v>33</v>
      </c>
      <c r="B16" s="4">
        <v>105.44229412483475</v>
      </c>
      <c r="C16" s="4">
        <v>104.97753912725501</v>
      </c>
      <c r="D16" s="4">
        <v>105.86259708659465</v>
      </c>
      <c r="E16" s="4">
        <v>105.89815081869828</v>
      </c>
      <c r="F16" s="4">
        <v>106.95687541841403</v>
      </c>
      <c r="G16" s="4">
        <v>106.38650504504282</v>
      </c>
      <c r="H16" s="4">
        <v>105.06324531208342</v>
      </c>
      <c r="I16" s="4">
        <v>106.07409540798301</v>
      </c>
      <c r="J16" s="4">
        <v>104.82116640217758</v>
      </c>
      <c r="K16" s="4">
        <v>103.917742466674</v>
      </c>
      <c r="L16" s="4">
        <v>106.24496254512735</v>
      </c>
      <c r="M16" s="4">
        <v>105.72260021713844</v>
      </c>
    </row>
    <row r="17" spans="1:13" x14ac:dyDescent="0.25">
      <c r="A17" s="3" t="s">
        <v>34</v>
      </c>
      <c r="B17" s="4">
        <v>105.20622242573268</v>
      </c>
      <c r="C17" s="4">
        <v>105.09743309446107</v>
      </c>
      <c r="D17" s="4">
        <v>105.30460647405783</v>
      </c>
      <c r="E17" s="4">
        <v>105.3160898637236</v>
      </c>
      <c r="F17" s="4">
        <v>106.58673272343715</v>
      </c>
      <c r="G17" s="4">
        <v>105.96447038655901</v>
      </c>
      <c r="H17" s="4">
        <v>104.34126197932174</v>
      </c>
      <c r="I17" s="4">
        <v>105.81960241373217</v>
      </c>
      <c r="J17" s="4">
        <v>105.27376423527176</v>
      </c>
      <c r="K17" s="4">
        <v>103.48690142115539</v>
      </c>
      <c r="L17" s="4">
        <v>106.11212989308609</v>
      </c>
      <c r="M17" s="4">
        <v>105.0922314892844</v>
      </c>
    </row>
    <row r="18" spans="1:13" x14ac:dyDescent="0.25">
      <c r="A18" s="3" t="s">
        <v>35</v>
      </c>
      <c r="B18" s="4">
        <v>105.48608414443424</v>
      </c>
      <c r="C18" s="4">
        <v>105.37007007860991</v>
      </c>
      <c r="D18" s="4">
        <v>105.59100190911828</v>
      </c>
      <c r="E18" s="4">
        <v>105.79822713150058</v>
      </c>
      <c r="F18" s="4">
        <v>106.44086883549517</v>
      </c>
      <c r="G18" s="4">
        <v>106.20781984769633</v>
      </c>
      <c r="H18" s="4">
        <v>104.35745642448973</v>
      </c>
      <c r="I18" s="4">
        <v>105.66924367417484</v>
      </c>
      <c r="J18" s="4">
        <v>105.57248230744216</v>
      </c>
      <c r="K18" s="4">
        <v>103.5030987153749</v>
      </c>
      <c r="L18" s="4">
        <v>106.65803701382283</v>
      </c>
      <c r="M18" s="4">
        <v>105.28915843511975</v>
      </c>
    </row>
    <row r="19" spans="1:13" x14ac:dyDescent="0.25">
      <c r="A19" s="3" t="s">
        <v>36</v>
      </c>
      <c r="B19" s="4">
        <v>105.12862092727376</v>
      </c>
      <c r="C19" s="4">
        <v>104.90224803155274</v>
      </c>
      <c r="D19" s="4">
        <v>105.33334212237448</v>
      </c>
      <c r="E19" s="4">
        <v>105.67746130688374</v>
      </c>
      <c r="F19" s="4">
        <v>105.47032256015233</v>
      </c>
      <c r="G19" s="4">
        <v>106.89213297526533</v>
      </c>
      <c r="H19" s="4">
        <v>103.74936649175073</v>
      </c>
      <c r="I19" s="4">
        <v>104.81844572965583</v>
      </c>
      <c r="J19" s="4">
        <v>104.84323507138858</v>
      </c>
      <c r="K19" s="4">
        <v>103.75886050870007</v>
      </c>
      <c r="L19" s="4">
        <v>106.27971080729117</v>
      </c>
      <c r="M19" s="4">
        <v>105.21627379638683</v>
      </c>
    </row>
    <row r="20" spans="1:13" x14ac:dyDescent="0.25">
      <c r="A20" s="3" t="s">
        <v>37</v>
      </c>
      <c r="B20" s="4">
        <v>105.26870627184341</v>
      </c>
      <c r="C20" s="4">
        <v>104.94827916491666</v>
      </c>
      <c r="D20" s="4">
        <v>105.5584857530125</v>
      </c>
      <c r="E20" s="4">
        <v>105.91458233597218</v>
      </c>
      <c r="F20" s="4">
        <v>105.68183675155116</v>
      </c>
      <c r="G20" s="4">
        <v>106.52764050997017</v>
      </c>
      <c r="H20" s="4">
        <v>104.095981810917</v>
      </c>
      <c r="I20" s="4">
        <v>105.303657364572</v>
      </c>
      <c r="J20" s="4">
        <v>104.79947189328273</v>
      </c>
      <c r="K20" s="4">
        <v>104.06118638978425</v>
      </c>
      <c r="L20" s="4">
        <v>107.02500933653117</v>
      </c>
      <c r="M20" s="4">
        <v>104.88992522095292</v>
      </c>
    </row>
    <row r="21" spans="1:13" x14ac:dyDescent="0.25">
      <c r="A21" s="3" t="s">
        <v>38</v>
      </c>
      <c r="B21" s="4">
        <v>108.91749829551692</v>
      </c>
      <c r="C21" s="4">
        <v>108.54719973164157</v>
      </c>
      <c r="D21" s="4">
        <v>109.25237921975145</v>
      </c>
      <c r="E21" s="4">
        <v>109.75486902070833</v>
      </c>
      <c r="F21" s="4">
        <v>108.07386551823691</v>
      </c>
      <c r="G21" s="4">
        <v>109.36014824116903</v>
      </c>
      <c r="H21" s="4">
        <v>108.04050591236008</v>
      </c>
      <c r="I21" s="4">
        <v>109.32646306559523</v>
      </c>
      <c r="J21" s="4">
        <v>108.49992030485551</v>
      </c>
      <c r="K21" s="4">
        <v>107.43155525918927</v>
      </c>
      <c r="L21" s="4">
        <v>110.90928733129134</v>
      </c>
      <c r="M21" s="4">
        <v>108.04589583255682</v>
      </c>
    </row>
    <row r="22" spans="1:13" x14ac:dyDescent="0.25">
      <c r="A22" s="3" t="s">
        <v>39</v>
      </c>
      <c r="B22" s="4">
        <v>111.33044945760452</v>
      </c>
      <c r="C22" s="4">
        <v>110.69823747739183</v>
      </c>
      <c r="D22" s="4">
        <v>111.9021927828551</v>
      </c>
      <c r="E22" s="4">
        <v>112.59219143091569</v>
      </c>
      <c r="F22" s="4">
        <v>110.40138282343567</v>
      </c>
      <c r="G22" s="4">
        <v>110.74196054493808</v>
      </c>
      <c r="H22" s="4">
        <v>110.7237132059996</v>
      </c>
      <c r="I22" s="4">
        <v>112.08608254105</v>
      </c>
      <c r="J22" s="4">
        <v>110.85841320271042</v>
      </c>
      <c r="K22" s="4">
        <v>109.08395506613641</v>
      </c>
      <c r="L22" s="4">
        <v>113.05083372185067</v>
      </c>
      <c r="M22" s="4">
        <v>109.76566655229333</v>
      </c>
    </row>
    <row r="23" spans="1:13" x14ac:dyDescent="0.25">
      <c r="A23" s="3" t="s">
        <v>40</v>
      </c>
      <c r="B23" s="4">
        <v>113.05292582029942</v>
      </c>
      <c r="C23" s="4">
        <v>112.20341194794877</v>
      </c>
      <c r="D23" s="4">
        <v>113.82118694382484</v>
      </c>
      <c r="E23" s="4">
        <v>114.61719553758991</v>
      </c>
      <c r="F23" s="4">
        <v>112.8558819371839</v>
      </c>
      <c r="G23" s="4">
        <v>112.0620978825301</v>
      </c>
      <c r="H23" s="4">
        <v>112.17055978419792</v>
      </c>
      <c r="I23" s="4">
        <v>114.56515210342957</v>
      </c>
      <c r="J23" s="4">
        <v>112.42717286618377</v>
      </c>
      <c r="K23" s="4">
        <v>110.23190089973717</v>
      </c>
      <c r="L23" s="4">
        <v>115.40816362174984</v>
      </c>
      <c r="M23" s="4">
        <v>110.69246285708242</v>
      </c>
    </row>
    <row r="24" spans="1:13" x14ac:dyDescent="0.25">
      <c r="A24" s="3" t="s">
        <v>41</v>
      </c>
      <c r="B24" s="4">
        <v>112.14217977536801</v>
      </c>
      <c r="C24" s="4">
        <v>111.91230464143401</v>
      </c>
      <c r="D24" s="4">
        <v>112.350068233009</v>
      </c>
      <c r="E24" s="4">
        <v>113.07832185693</v>
      </c>
      <c r="F24" s="4">
        <v>111.70488956785</v>
      </c>
      <c r="G24" s="4">
        <v>110.371532336589</v>
      </c>
      <c r="H24" s="4">
        <v>110.743201174631</v>
      </c>
      <c r="I24" s="4">
        <v>113.48328082572</v>
      </c>
      <c r="J24" s="4">
        <v>112.41861115</v>
      </c>
      <c r="K24" s="4">
        <v>109.264748280066</v>
      </c>
      <c r="L24" s="4">
        <v>115.15282074912</v>
      </c>
      <c r="M24" s="4">
        <v>109.77459664468201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4C0D-AABF-4DAE-B1FA-FAED148298B4}">
  <dimension ref="A1:M47"/>
  <sheetViews>
    <sheetView workbookViewId="0">
      <selection activeCell="B32" sqref="B32:L47"/>
    </sheetView>
  </sheetViews>
  <sheetFormatPr defaultRowHeight="15" x14ac:dyDescent="0.25"/>
  <cols>
    <col min="1" max="1" width="19.28515625" bestFit="1" customWidth="1"/>
    <col min="2" max="5" width="12" bestFit="1" customWidth="1"/>
    <col min="6" max="6" width="11" bestFit="1" customWidth="1"/>
    <col min="7" max="7" width="8.28515625" bestFit="1" customWidth="1"/>
    <col min="8" max="8" width="6.5703125" bestFit="1" customWidth="1"/>
    <col min="9" max="9" width="12.85546875" bestFit="1" customWidth="1"/>
    <col min="10" max="10" width="12" bestFit="1" customWidth="1"/>
    <col min="11" max="11" width="12.140625" customWidth="1"/>
    <col min="12" max="12" width="12" bestFit="1" customWidth="1"/>
    <col min="13" max="13" width="12" customWidth="1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E1" t="s">
        <v>5</v>
      </c>
      <c r="F1" t="s">
        <v>6</v>
      </c>
      <c r="G1" t="s">
        <v>7</v>
      </c>
      <c r="H1" t="s">
        <v>8</v>
      </c>
      <c r="I1" t="s">
        <v>18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>
        <v>1990</v>
      </c>
      <c r="B2">
        <v>1.6918808690929299</v>
      </c>
      <c r="E2">
        <v>1.8572836981473899</v>
      </c>
      <c r="J2">
        <v>1.65592285811288</v>
      </c>
      <c r="L2">
        <v>1.4077433554963099</v>
      </c>
    </row>
    <row r="3" spans="1:13" x14ac:dyDescent="0.25">
      <c r="A3">
        <v>1991</v>
      </c>
      <c r="B3">
        <v>2.5162058733603399</v>
      </c>
      <c r="E3">
        <v>2.78322137100113</v>
      </c>
      <c r="J3">
        <v>2.41644963707326</v>
      </c>
      <c r="L3">
        <v>2.0866470486798998</v>
      </c>
    </row>
    <row r="4" spans="1:13" x14ac:dyDescent="0.25">
      <c r="A4">
        <v>1992</v>
      </c>
      <c r="B4">
        <v>3.8902006033997201</v>
      </c>
      <c r="E4">
        <v>4.2845938758912103</v>
      </c>
      <c r="J4">
        <v>3.7912235125996299</v>
      </c>
      <c r="L4">
        <v>3.1403288808213401</v>
      </c>
    </row>
    <row r="5" spans="1:13" x14ac:dyDescent="0.25">
      <c r="A5">
        <v>1993</v>
      </c>
      <c r="B5">
        <v>5.63904237599992</v>
      </c>
      <c r="E5">
        <v>6.1283566929388202</v>
      </c>
      <c r="J5">
        <v>5.6256727854176898</v>
      </c>
      <c r="L5">
        <v>4.5790766950431703</v>
      </c>
    </row>
    <row r="6" spans="1:13" x14ac:dyDescent="0.25">
      <c r="A6">
        <v>1994</v>
      </c>
      <c r="B6">
        <v>7.1791145736264603</v>
      </c>
      <c r="E6">
        <v>7.7874728106596702</v>
      </c>
      <c r="J6">
        <v>7.2918720747065304</v>
      </c>
      <c r="L6">
        <v>5.78092225873048</v>
      </c>
    </row>
    <row r="7" spans="1:13" x14ac:dyDescent="0.25">
      <c r="A7">
        <v>1995</v>
      </c>
      <c r="B7">
        <v>8.8255605919137992</v>
      </c>
      <c r="E7">
        <v>9.5370748249713699</v>
      </c>
      <c r="J7">
        <v>9.0889718355953999</v>
      </c>
      <c r="L7">
        <v>7.0868676414113398</v>
      </c>
    </row>
    <row r="8" spans="1:13" x14ac:dyDescent="0.25">
      <c r="A8">
        <v>1996</v>
      </c>
      <c r="B8">
        <v>10.9780354387801</v>
      </c>
      <c r="E8">
        <v>11.7926699094313</v>
      </c>
      <c r="J8">
        <v>11.490673982109</v>
      </c>
      <c r="L8">
        <v>9.0935826060424905</v>
      </c>
    </row>
    <row r="9" spans="1:13" x14ac:dyDescent="0.25">
      <c r="A9">
        <v>1997</v>
      </c>
      <c r="B9">
        <v>14.3471720319583</v>
      </c>
      <c r="E9">
        <v>15.667562494911399</v>
      </c>
      <c r="J9">
        <v>14.7615623351168</v>
      </c>
      <c r="L9">
        <v>11.8469592421347</v>
      </c>
    </row>
    <row r="10" spans="1:13" x14ac:dyDescent="0.25">
      <c r="A10">
        <v>1998</v>
      </c>
      <c r="B10">
        <v>17.829975394598399</v>
      </c>
      <c r="E10">
        <v>19.092594735073199</v>
      </c>
      <c r="J10">
        <v>17.843231503176199</v>
      </c>
      <c r="L10">
        <v>15.308772290307401</v>
      </c>
    </row>
    <row r="11" spans="1:13" x14ac:dyDescent="0.25">
      <c r="A11">
        <v>1999</v>
      </c>
      <c r="B11">
        <v>29.728146543116502</v>
      </c>
      <c r="E11">
        <v>31.817561246537199</v>
      </c>
      <c r="J11">
        <v>29.825789712396801</v>
      </c>
      <c r="L11">
        <v>25.595463311735699</v>
      </c>
    </row>
    <row r="12" spans="1:13" x14ac:dyDescent="0.25">
      <c r="A12">
        <v>2000</v>
      </c>
      <c r="B12">
        <v>58.239614587482102</v>
      </c>
      <c r="E12">
        <v>61.727201461721201</v>
      </c>
      <c r="J12">
        <v>58.738823302883397</v>
      </c>
      <c r="L12">
        <v>53.353562968082898</v>
      </c>
    </row>
    <row r="13" spans="1:13" x14ac:dyDescent="0.25">
      <c r="A13">
        <v>2001</v>
      </c>
      <c r="B13">
        <v>80.179897345365703</v>
      </c>
      <c r="E13">
        <v>84.802958243845595</v>
      </c>
      <c r="J13">
        <v>80.193895414747104</v>
      </c>
      <c r="L13">
        <v>77.864640855591105</v>
      </c>
    </row>
    <row r="14" spans="1:13" x14ac:dyDescent="0.25">
      <c r="A14">
        <v>2002</v>
      </c>
      <c r="B14">
        <v>90.234695755904198</v>
      </c>
      <c r="E14">
        <v>92.502752278718901</v>
      </c>
      <c r="J14">
        <v>90.081592963364002</v>
      </c>
      <c r="L14">
        <v>92.429767657344001</v>
      </c>
    </row>
    <row r="15" spans="1:13" x14ac:dyDescent="0.25">
      <c r="A15">
        <v>2003</v>
      </c>
      <c r="B15">
        <v>97.425504011087199</v>
      </c>
      <c r="E15">
        <v>98.517396678619605</v>
      </c>
      <c r="J15">
        <v>97.159466002221194</v>
      </c>
      <c r="L15">
        <v>97.746284461624299</v>
      </c>
    </row>
    <row r="16" spans="1:13" x14ac:dyDescent="0.25">
      <c r="A16">
        <v>2004</v>
      </c>
      <c r="B16">
        <v>100</v>
      </c>
      <c r="E16">
        <v>99.91</v>
      </c>
      <c r="J16">
        <v>99.86</v>
      </c>
      <c r="L16">
        <v>99.66</v>
      </c>
    </row>
    <row r="17" spans="1:12" x14ac:dyDescent="0.25">
      <c r="A17">
        <v>2005</v>
      </c>
      <c r="B17">
        <v>102.08</v>
      </c>
      <c r="E17">
        <v>101.06</v>
      </c>
      <c r="J17">
        <v>102.12</v>
      </c>
      <c r="L17">
        <v>102.42</v>
      </c>
    </row>
    <row r="18" spans="1:12" x14ac:dyDescent="0.25">
      <c r="A18">
        <v>2006</v>
      </c>
      <c r="B18">
        <v>105.45</v>
      </c>
      <c r="E18">
        <v>103.49</v>
      </c>
      <c r="J18">
        <v>105.54</v>
      </c>
      <c r="L18">
        <v>105.23</v>
      </c>
    </row>
    <row r="19" spans="1:12" x14ac:dyDescent="0.25">
      <c r="A19">
        <v>2007</v>
      </c>
      <c r="B19">
        <v>107.847515121795</v>
      </c>
      <c r="E19">
        <v>105.25518110326099</v>
      </c>
      <c r="J19">
        <v>107.821157708059</v>
      </c>
      <c r="L19">
        <v>107.66898999517301</v>
      </c>
    </row>
    <row r="20" spans="1:12" x14ac:dyDescent="0.25">
      <c r="A20">
        <v>2008</v>
      </c>
      <c r="B20">
        <v>116.906826879439</v>
      </c>
      <c r="E20">
        <v>113.165808628769</v>
      </c>
      <c r="J20">
        <v>116.42764878813701</v>
      </c>
      <c r="L20">
        <v>116.11843739868</v>
      </c>
    </row>
    <row r="21" spans="1:12" x14ac:dyDescent="0.25">
      <c r="A21">
        <v>2009</v>
      </c>
      <c r="B21">
        <v>122.93918207738</v>
      </c>
      <c r="E21">
        <v>117.928229747675</v>
      </c>
      <c r="J21">
        <v>122.19920685827699</v>
      </c>
      <c r="L21">
        <v>122.173852913727</v>
      </c>
    </row>
    <row r="22" spans="1:12" x14ac:dyDescent="0.25">
      <c r="A22">
        <v>2010</v>
      </c>
      <c r="B22">
        <v>127.308904514102</v>
      </c>
      <c r="E22">
        <v>121.57083444895601</v>
      </c>
      <c r="J22">
        <v>126.54271340063499</v>
      </c>
      <c r="L22">
        <v>125.611729513676</v>
      </c>
    </row>
    <row r="23" spans="1:12" x14ac:dyDescent="0.25">
      <c r="A23">
        <v>2011</v>
      </c>
      <c r="B23">
        <v>133.005383023072</v>
      </c>
      <c r="E23">
        <v>127.34721132656099</v>
      </c>
      <c r="J23">
        <v>131.28671222955799</v>
      </c>
      <c r="L23">
        <v>131.16637167181</v>
      </c>
    </row>
    <row r="24" spans="1:12" x14ac:dyDescent="0.25">
      <c r="A24">
        <v>2012</v>
      </c>
      <c r="B24">
        <v>139.79094765668501</v>
      </c>
      <c r="E24">
        <v>132.813582514925</v>
      </c>
      <c r="J24">
        <v>138.51853070095001</v>
      </c>
      <c r="L24">
        <v>136.75627692137101</v>
      </c>
    </row>
    <row r="25" spans="1:12" x14ac:dyDescent="0.25">
      <c r="A25">
        <v>2013</v>
      </c>
      <c r="B25">
        <v>143.595743808588</v>
      </c>
      <c r="E25">
        <v>136.158915768263</v>
      </c>
      <c r="J25">
        <v>142.47185797500299</v>
      </c>
      <c r="L25">
        <v>141.29831065808301</v>
      </c>
    </row>
    <row r="26" spans="1:12" x14ac:dyDescent="0.25">
      <c r="A26">
        <v>2014</v>
      </c>
      <c r="B26">
        <v>148.749711203125</v>
      </c>
      <c r="E26">
        <v>141.21232132576901</v>
      </c>
      <c r="J26">
        <v>147.91776431902099</v>
      </c>
      <c r="L26">
        <v>146.55198495729499</v>
      </c>
    </row>
    <row r="29" spans="1:12" x14ac:dyDescent="0.25">
      <c r="A29" t="s">
        <v>81</v>
      </c>
      <c r="B29">
        <v>0.66744303381325731</v>
      </c>
      <c r="E29">
        <v>0.70489045089525693</v>
      </c>
      <c r="J29">
        <v>0.67041054790066745</v>
      </c>
      <c r="L29">
        <v>0.67577668984554529</v>
      </c>
    </row>
    <row r="31" spans="1:12" x14ac:dyDescent="0.25">
      <c r="A31" t="s">
        <v>82</v>
      </c>
    </row>
    <row r="32" spans="1:12" x14ac:dyDescent="0.25">
      <c r="A32">
        <v>1990</v>
      </c>
      <c r="B32">
        <f>B2*B$29</f>
        <v>1.1292341001179955</v>
      </c>
      <c r="E32">
        <f>E2*E$29</f>
        <v>1.309181543427524</v>
      </c>
      <c r="J32">
        <f>J2*J$29</f>
        <v>1.110148150588695</v>
      </c>
      <c r="L32">
        <f>L2*L$29</f>
        <v>0.95132014492935701</v>
      </c>
    </row>
    <row r="33" spans="1:13" x14ac:dyDescent="0.25">
      <c r="A33">
        <v>1991</v>
      </c>
      <c r="B33">
        <f t="shared" ref="B33:B47" si="0">B3*B$29</f>
        <v>1.679424081814362</v>
      </c>
      <c r="E33">
        <f t="shared" ref="E33:E47" si="1">E3*E$29</f>
        <v>1.9618661671463016</v>
      </c>
      <c r="J33">
        <f t="shared" ref="J33:J46" si="2">J3*J$29</f>
        <v>1.6200133251646534</v>
      </c>
      <c r="L33">
        <f t="shared" ref="L33:L46" si="3">L3*L$29</f>
        <v>1.4101074354328791</v>
      </c>
    </row>
    <row r="34" spans="1:13" x14ac:dyDescent="0.25">
      <c r="A34">
        <v>1992</v>
      </c>
      <c r="B34">
        <f t="shared" si="0"/>
        <v>2.5964872928752736</v>
      </c>
      <c r="E34">
        <f t="shared" si="1"/>
        <v>3.0201693090800119</v>
      </c>
      <c r="J34">
        <f t="shared" si="2"/>
        <v>2.5416762322958109</v>
      </c>
      <c r="L34">
        <f t="shared" si="3"/>
        <v>2.122161056107811</v>
      </c>
    </row>
    <row r="35" spans="1:13" x14ac:dyDescent="0.25">
      <c r="A35">
        <v>1993</v>
      </c>
      <c r="B35">
        <f t="shared" si="0"/>
        <v>3.7637395512389054</v>
      </c>
      <c r="E35">
        <f t="shared" si="1"/>
        <v>4.3198201125326108</v>
      </c>
      <c r="J35">
        <f t="shared" si="2"/>
        <v>3.7715103743817475</v>
      </c>
      <c r="L35">
        <f t="shared" si="3"/>
        <v>3.0944332915251529</v>
      </c>
    </row>
    <row r="36" spans="1:13" x14ac:dyDescent="0.25">
      <c r="A36">
        <v>1994</v>
      </c>
      <c r="B36">
        <f t="shared" si="0"/>
        <v>4.7916500111142142</v>
      </c>
      <c r="E36">
        <f t="shared" si="1"/>
        <v>5.4893152208404485</v>
      </c>
      <c r="J36">
        <f t="shared" si="2"/>
        <v>4.888547952825582</v>
      </c>
      <c r="L36">
        <f t="shared" si="3"/>
        <v>3.9066125082593168</v>
      </c>
    </row>
    <row r="37" spans="1:13" x14ac:dyDescent="0.25">
      <c r="A37">
        <v>1995</v>
      </c>
      <c r="B37">
        <f t="shared" si="0"/>
        <v>5.8905589365696729</v>
      </c>
      <c r="E37">
        <f t="shared" si="1"/>
        <v>6.722592973595872</v>
      </c>
      <c r="J37">
        <f t="shared" si="2"/>
        <v>6.093342588155247</v>
      </c>
      <c r="L37">
        <f t="shared" si="3"/>
        <v>4.789139956086462</v>
      </c>
    </row>
    <row r="38" spans="1:13" x14ac:dyDescent="0.25">
      <c r="A38">
        <v>1996</v>
      </c>
      <c r="B38">
        <f t="shared" si="0"/>
        <v>7.327213278568844</v>
      </c>
      <c r="E38">
        <f t="shared" si="1"/>
        <v>8.3125404097179576</v>
      </c>
      <c r="J38">
        <f t="shared" si="2"/>
        <v>7.7034690400936388</v>
      </c>
      <c r="L38">
        <f t="shared" si="3"/>
        <v>6.1452311523484218</v>
      </c>
    </row>
    <row r="39" spans="1:13" x14ac:dyDescent="0.25">
      <c r="A39">
        <v>1997</v>
      </c>
      <c r="B39">
        <f t="shared" si="0"/>
        <v>9.5759200276509624</v>
      </c>
      <c r="E39">
        <f t="shared" si="1"/>
        <v>11.043915191467713</v>
      </c>
      <c r="J39">
        <f t="shared" si="2"/>
        <v>9.8963070929555101</v>
      </c>
      <c r="L39">
        <f t="shared" si="3"/>
        <v>8.005898901384878</v>
      </c>
    </row>
    <row r="40" spans="1:13" x14ac:dyDescent="0.25">
      <c r="A40">
        <v>1998</v>
      </c>
      <c r="B40">
        <f t="shared" si="0"/>
        <v>11.900492870186486</v>
      </c>
      <c r="E40">
        <f t="shared" si="1"/>
        <v>13.458187711566156</v>
      </c>
      <c r="J40">
        <f t="shared" si="2"/>
        <v>11.962290608362805</v>
      </c>
      <c r="L40">
        <f t="shared" si="3"/>
        <v>10.345311463943142</v>
      </c>
    </row>
    <row r="41" spans="1:13" x14ac:dyDescent="0.25">
      <c r="A41">
        <v>1999</v>
      </c>
      <c r="B41">
        <f t="shared" si="0"/>
        <v>19.841844318382776</v>
      </c>
      <c r="E41">
        <f t="shared" si="1"/>
        <v>22.42789509345906</v>
      </c>
      <c r="J41">
        <f t="shared" si="2"/>
        <v>19.995524022658032</v>
      </c>
      <c r="L41">
        <f t="shared" si="3"/>
        <v>17.29681747186785</v>
      </c>
    </row>
    <row r="42" spans="1:13" x14ac:dyDescent="0.25">
      <c r="A42">
        <v>2000</v>
      </c>
      <c r="B42">
        <f t="shared" si="0"/>
        <v>38.871625048383891</v>
      </c>
      <c r="E42">
        <f t="shared" si="1"/>
        <v>43.510914870855018</v>
      </c>
      <c r="J42">
        <f t="shared" si="2"/>
        <v>39.379126713526553</v>
      </c>
      <c r="L42">
        <f t="shared" si="3"/>
        <v>36.055094174036924</v>
      </c>
    </row>
    <row r="43" spans="1:13" x14ac:dyDescent="0.25">
      <c r="A43">
        <v>2001</v>
      </c>
      <c r="B43">
        <f t="shared" si="0"/>
        <v>53.515513935026419</v>
      </c>
      <c r="E43">
        <f t="shared" si="1"/>
        <v>59.776795473755968</v>
      </c>
      <c r="J43">
        <f t="shared" si="2"/>
        <v>53.762833363289431</v>
      </c>
      <c r="L43">
        <f t="shared" si="3"/>
        <v>52.619109253403565</v>
      </c>
    </row>
    <row r="44" spans="1:13" x14ac:dyDescent="0.25">
      <c r="A44">
        <v>2002</v>
      </c>
      <c r="B44">
        <f t="shared" si="0"/>
        <v>60.226519090536954</v>
      </c>
      <c r="E44">
        <f t="shared" si="1"/>
        <v>65.204306762798424</v>
      </c>
      <c r="J44">
        <f t="shared" si="2"/>
        <v>60.39165009433377</v>
      </c>
      <c r="L44">
        <f t="shared" si="3"/>
        <v>62.461882430672773</v>
      </c>
    </row>
    <row r="45" spans="1:13" x14ac:dyDescent="0.25">
      <c r="A45">
        <v>2003</v>
      </c>
      <c r="B45">
        <f t="shared" si="0"/>
        <v>65.025973967945703</v>
      </c>
      <c r="E45">
        <f t="shared" si="1"/>
        <v>69.443972165819062</v>
      </c>
      <c r="J45">
        <f t="shared" si="2"/>
        <v>65.136730836285381</v>
      </c>
      <c r="L45">
        <f t="shared" si="3"/>
        <v>66.054660558177531</v>
      </c>
    </row>
    <row r="46" spans="1:13" x14ac:dyDescent="0.25">
      <c r="A46">
        <v>2004</v>
      </c>
      <c r="B46">
        <f t="shared" si="0"/>
        <v>66.744303381325736</v>
      </c>
      <c r="E46">
        <f t="shared" si="1"/>
        <v>70.425604948945121</v>
      </c>
      <c r="J46">
        <f t="shared" si="2"/>
        <v>66.947197313360647</v>
      </c>
      <c r="L46">
        <f t="shared" si="3"/>
        <v>67.347904910007045</v>
      </c>
    </row>
    <row r="47" spans="1:13" x14ac:dyDescent="0.25">
      <c r="A47">
        <v>2005</v>
      </c>
      <c r="B47" s="8">
        <f t="shared" si="0"/>
        <v>68.132584891657302</v>
      </c>
      <c r="C47" s="8">
        <v>68.132750059676482</v>
      </c>
      <c r="E47" s="8">
        <f>E17*E$29</f>
        <v>71.236228967474673</v>
      </c>
      <c r="F47" s="8">
        <v>71.238441870592126</v>
      </c>
      <c r="J47" s="8">
        <f>J17*J$29</f>
        <v>68.46232515161617</v>
      </c>
      <c r="K47" s="8">
        <v>68.461639790470812</v>
      </c>
      <c r="L47" s="8">
        <f>L17*L$29</f>
        <v>69.213048573980743</v>
      </c>
      <c r="M47" s="8">
        <v>69.212266495263023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0EB0-B995-493C-9266-2D3A8A2FDC66}">
  <dimension ref="A1:C24"/>
  <sheetViews>
    <sheetView workbookViewId="0">
      <selection activeCell="J48" sqref="J48"/>
    </sheetView>
  </sheetViews>
  <sheetFormatPr defaultRowHeight="15" x14ac:dyDescent="0.25"/>
  <sheetData>
    <row r="1" spans="1:3" x14ac:dyDescent="0.25">
      <c r="A1" t="s">
        <v>14</v>
      </c>
      <c r="B1" t="s">
        <v>54</v>
      </c>
      <c r="C1" t="s">
        <v>55</v>
      </c>
    </row>
    <row r="2" spans="1:3" x14ac:dyDescent="0.25">
      <c r="A2">
        <v>1990</v>
      </c>
      <c r="B2">
        <v>32000</v>
      </c>
      <c r="C2">
        <v>39</v>
      </c>
    </row>
    <row r="3" spans="1:3" x14ac:dyDescent="0.25">
      <c r="A3">
        <v>1991</v>
      </c>
      <c r="B3">
        <v>40000</v>
      </c>
      <c r="C3">
        <v>36</v>
      </c>
    </row>
    <row r="4" spans="1:3" x14ac:dyDescent="0.25">
      <c r="A4" t="s">
        <v>56</v>
      </c>
      <c r="B4">
        <v>40000</v>
      </c>
      <c r="C4">
        <v>30</v>
      </c>
    </row>
    <row r="5" spans="1:3" x14ac:dyDescent="0.25">
      <c r="A5" t="s">
        <v>57</v>
      </c>
      <c r="B5">
        <v>60000</v>
      </c>
      <c r="C5">
        <v>40</v>
      </c>
    </row>
    <row r="6" spans="1:3" x14ac:dyDescent="0.25">
      <c r="A6" t="s">
        <v>58</v>
      </c>
      <c r="B6">
        <v>60000</v>
      </c>
      <c r="C6">
        <v>32</v>
      </c>
    </row>
    <row r="7" spans="1:3" x14ac:dyDescent="0.25">
      <c r="A7" t="s">
        <v>59</v>
      </c>
      <c r="B7">
        <v>66000</v>
      </c>
      <c r="C7">
        <v>34</v>
      </c>
    </row>
    <row r="8" spans="1:3" x14ac:dyDescent="0.25">
      <c r="A8" t="s">
        <v>60</v>
      </c>
      <c r="B8">
        <v>66000</v>
      </c>
      <c r="C8">
        <v>32</v>
      </c>
    </row>
    <row r="9" spans="1:3" x14ac:dyDescent="0.25">
      <c r="A9" t="s">
        <v>61</v>
      </c>
      <c r="B9">
        <v>70000</v>
      </c>
      <c r="C9">
        <v>32</v>
      </c>
    </row>
    <row r="10" spans="1:3" x14ac:dyDescent="0.25">
      <c r="A10" t="s">
        <v>62</v>
      </c>
      <c r="B10">
        <v>75000</v>
      </c>
      <c r="C10">
        <v>32</v>
      </c>
    </row>
    <row r="11" spans="1:3" x14ac:dyDescent="0.25">
      <c r="A11" t="s">
        <v>63</v>
      </c>
      <c r="B11">
        <v>85000</v>
      </c>
      <c r="C11">
        <v>33</v>
      </c>
    </row>
    <row r="12" spans="1:3" x14ac:dyDescent="0.25">
      <c r="A12">
        <v>1996</v>
      </c>
      <c r="B12">
        <v>95000</v>
      </c>
      <c r="C12">
        <v>30</v>
      </c>
    </row>
    <row r="13" spans="1:3" x14ac:dyDescent="0.25">
      <c r="A13" t="s">
        <v>64</v>
      </c>
      <c r="B13">
        <v>95000</v>
      </c>
      <c r="C13">
        <v>23.757127138141399</v>
      </c>
    </row>
    <row r="14" spans="1:3" x14ac:dyDescent="0.25">
      <c r="A14" t="s">
        <v>65</v>
      </c>
      <c r="B14">
        <v>100000</v>
      </c>
      <c r="C14">
        <v>25.007502250675198</v>
      </c>
    </row>
    <row r="15" spans="1:3" x14ac:dyDescent="0.25">
      <c r="A15">
        <v>1998</v>
      </c>
      <c r="B15">
        <v>100000</v>
      </c>
      <c r="C15">
        <v>18.360752056404198</v>
      </c>
    </row>
    <row r="16" spans="1:3" x14ac:dyDescent="0.25">
      <c r="A16">
        <v>1999</v>
      </c>
      <c r="B16">
        <v>100000</v>
      </c>
      <c r="C16">
        <v>8.4070350068937696</v>
      </c>
    </row>
    <row r="17" spans="1:3" x14ac:dyDescent="0.25">
      <c r="A17" t="s">
        <v>66</v>
      </c>
      <c r="B17">
        <v>100000</v>
      </c>
      <c r="C17">
        <v>4</v>
      </c>
    </row>
    <row r="18" spans="1:3" x14ac:dyDescent="0.25">
      <c r="A18" t="s">
        <v>67</v>
      </c>
      <c r="C18">
        <v>56.7</v>
      </c>
    </row>
    <row r="19" spans="1:3" x14ac:dyDescent="0.25">
      <c r="C19">
        <v>85.7</v>
      </c>
    </row>
    <row r="20" spans="1:3" x14ac:dyDescent="0.25">
      <c r="A20" t="s">
        <v>68</v>
      </c>
      <c r="C20">
        <v>121.32708333333299</v>
      </c>
    </row>
    <row r="21" spans="1:3" x14ac:dyDescent="0.25">
      <c r="A21">
        <v>2002</v>
      </c>
      <c r="C21">
        <v>138.15312499999999</v>
      </c>
    </row>
    <row r="22" spans="1:3" x14ac:dyDescent="0.25">
      <c r="A22">
        <v>2003</v>
      </c>
      <c r="C22">
        <v>158.11006944444401</v>
      </c>
    </row>
    <row r="23" spans="1:3" x14ac:dyDescent="0.25">
      <c r="A23">
        <v>2004</v>
      </c>
      <c r="C23">
        <v>166.13972222222199</v>
      </c>
    </row>
    <row r="24" spans="1:3" x14ac:dyDescent="0.25">
      <c r="A24">
        <v>2005</v>
      </c>
      <c r="C24">
        <v>174.90020833333301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EA1C-295C-44ED-ADC8-47D2FC4F0AD3}">
  <dimension ref="A1:M40"/>
  <sheetViews>
    <sheetView workbookViewId="0">
      <selection activeCell="I46" sqref="I46"/>
    </sheetView>
  </sheetViews>
  <sheetFormatPr defaultRowHeight="15" x14ac:dyDescent="0.25"/>
  <cols>
    <col min="1" max="1" width="5.85546875" bestFit="1" customWidth="1"/>
    <col min="2" max="2" width="12" bestFit="1" customWidth="1"/>
    <col min="3" max="3" width="12.28515625" bestFit="1" customWidth="1"/>
    <col min="4" max="5" width="12" bestFit="1" customWidth="1"/>
    <col min="6" max="6" width="18.7109375" bestFit="1" customWidth="1"/>
    <col min="7" max="7" width="20.140625" bestFit="1" customWidth="1"/>
    <col min="8" max="8" width="16.140625" bestFit="1" customWidth="1"/>
    <col min="9" max="9" width="17.7109375" bestFit="1" customWidth="1"/>
    <col min="10" max="10" width="14.140625" bestFit="1" customWidth="1"/>
    <col min="11" max="11" width="15.5703125" bestFit="1" customWidth="1"/>
    <col min="12" max="12" width="11.5703125" bestFit="1" customWidth="1"/>
    <col min="13" max="13" width="13.140625" bestFit="1" customWidth="1"/>
  </cols>
  <sheetData>
    <row r="1" spans="1:13" x14ac:dyDescent="0.25">
      <c r="B1" s="6" t="s">
        <v>69</v>
      </c>
      <c r="C1" s="6"/>
      <c r="D1" s="6"/>
      <c r="E1" s="6"/>
      <c r="F1" s="6" t="s">
        <v>74</v>
      </c>
      <c r="G1" s="6"/>
      <c r="H1" s="6"/>
      <c r="I1" s="6"/>
      <c r="J1" s="6" t="s">
        <v>79</v>
      </c>
      <c r="K1" s="6"/>
      <c r="L1" s="6"/>
      <c r="M1" s="6"/>
    </row>
    <row r="2" spans="1:13" x14ac:dyDescent="0.25">
      <c r="A2" s="5" t="s">
        <v>14</v>
      </c>
      <c r="B2" s="5" t="s">
        <v>70</v>
      </c>
      <c r="C2" s="5" t="s">
        <v>71</v>
      </c>
      <c r="D2" s="5" t="s">
        <v>72</v>
      </c>
      <c r="E2" s="5" t="s">
        <v>73</v>
      </c>
      <c r="F2" s="5" t="s">
        <v>43</v>
      </c>
      <c r="G2" s="5" t="s">
        <v>46</v>
      </c>
      <c r="H2" s="5" t="s">
        <v>50</v>
      </c>
      <c r="I2" s="5" t="s">
        <v>52</v>
      </c>
      <c r="J2" s="5" t="s">
        <v>75</v>
      </c>
      <c r="K2" s="5" t="s">
        <v>76</v>
      </c>
      <c r="L2" s="5" t="s">
        <v>77</v>
      </c>
      <c r="M2" s="5" t="s">
        <v>78</v>
      </c>
    </row>
    <row r="3" spans="1:13" x14ac:dyDescent="0.25">
      <c r="A3">
        <v>1990</v>
      </c>
      <c r="B3">
        <v>1.6918808690929299</v>
      </c>
      <c r="C3">
        <v>1.8572836981473899</v>
      </c>
      <c r="D3">
        <v>1.65592285811288</v>
      </c>
      <c r="E3">
        <v>1.4077433554963099</v>
      </c>
    </row>
    <row r="4" spans="1:13" x14ac:dyDescent="0.25">
      <c r="A4">
        <v>1991</v>
      </c>
      <c r="B4">
        <v>2.5162058733603399</v>
      </c>
      <c r="C4">
        <v>2.78322137100113</v>
      </c>
      <c r="D4">
        <v>2.41644963707326</v>
      </c>
      <c r="E4">
        <v>2.0866470486798998</v>
      </c>
    </row>
    <row r="5" spans="1:13" x14ac:dyDescent="0.25">
      <c r="A5">
        <v>1992</v>
      </c>
      <c r="B5">
        <v>3.8902006033997201</v>
      </c>
      <c r="C5">
        <v>4.2845938758912103</v>
      </c>
      <c r="D5">
        <v>3.7912235125996299</v>
      </c>
      <c r="E5">
        <v>3.1403288808213401</v>
      </c>
    </row>
    <row r="6" spans="1:13" x14ac:dyDescent="0.25">
      <c r="A6">
        <v>1993</v>
      </c>
      <c r="B6">
        <v>5.63904237599992</v>
      </c>
      <c r="C6">
        <v>6.1283566929388202</v>
      </c>
      <c r="D6">
        <v>5.6256727854176898</v>
      </c>
      <c r="E6">
        <v>4.5790766950431703</v>
      </c>
    </row>
    <row r="7" spans="1:13" x14ac:dyDescent="0.25">
      <c r="A7">
        <v>1994</v>
      </c>
      <c r="B7">
        <v>7.1791145736264603</v>
      </c>
      <c r="C7">
        <v>7.7874728106596702</v>
      </c>
      <c r="D7">
        <v>7.2918720747065304</v>
      </c>
      <c r="E7">
        <v>5.78092225873048</v>
      </c>
    </row>
    <row r="8" spans="1:13" x14ac:dyDescent="0.25">
      <c r="A8">
        <v>1995</v>
      </c>
      <c r="B8">
        <v>8.8255605919137992</v>
      </c>
      <c r="C8">
        <v>9.5370748249713699</v>
      </c>
      <c r="D8">
        <v>9.0889718355953999</v>
      </c>
      <c r="E8">
        <v>7.0868676414113398</v>
      </c>
    </row>
    <row r="9" spans="1:13" x14ac:dyDescent="0.25">
      <c r="A9">
        <v>1996</v>
      </c>
      <c r="B9">
        <v>10.9780354387801</v>
      </c>
      <c r="C9">
        <v>11.7926699094313</v>
      </c>
      <c r="D9">
        <v>11.490673982109</v>
      </c>
      <c r="E9">
        <v>9.0935826060424905</v>
      </c>
    </row>
    <row r="10" spans="1:13" x14ac:dyDescent="0.25">
      <c r="A10">
        <v>1997</v>
      </c>
      <c r="B10">
        <v>14.3471720319583</v>
      </c>
      <c r="C10">
        <v>15.667562494911399</v>
      </c>
      <c r="D10">
        <v>14.7615623351168</v>
      </c>
      <c r="E10">
        <v>11.8469592421347</v>
      </c>
    </row>
    <row r="11" spans="1:13" x14ac:dyDescent="0.25">
      <c r="A11">
        <v>1998</v>
      </c>
      <c r="B11">
        <v>17.829975394598399</v>
      </c>
      <c r="C11">
        <v>19.092594735073199</v>
      </c>
      <c r="D11">
        <v>17.843231503176199</v>
      </c>
      <c r="E11">
        <v>15.308772290307401</v>
      </c>
    </row>
    <row r="12" spans="1:13" x14ac:dyDescent="0.25">
      <c r="A12">
        <v>1999</v>
      </c>
      <c r="B12">
        <v>29.728146543116502</v>
      </c>
      <c r="C12">
        <v>31.817561246537199</v>
      </c>
      <c r="D12">
        <v>29.825789712396801</v>
      </c>
      <c r="E12">
        <v>25.595463311735699</v>
      </c>
    </row>
    <row r="13" spans="1:13" x14ac:dyDescent="0.25">
      <c r="A13">
        <v>2000</v>
      </c>
      <c r="B13">
        <v>58.239614587482102</v>
      </c>
      <c r="C13">
        <v>61.727201461721201</v>
      </c>
      <c r="D13">
        <v>58.738823302883397</v>
      </c>
      <c r="E13">
        <v>53.353562968082898</v>
      </c>
    </row>
    <row r="14" spans="1:13" x14ac:dyDescent="0.25">
      <c r="A14">
        <v>2001</v>
      </c>
      <c r="B14">
        <v>80.179897345365703</v>
      </c>
      <c r="C14">
        <v>84.802958243845595</v>
      </c>
      <c r="D14">
        <v>80.193895414747104</v>
      </c>
      <c r="E14">
        <v>77.864640855591105</v>
      </c>
    </row>
    <row r="15" spans="1:13" x14ac:dyDescent="0.25">
      <c r="A15">
        <v>2002</v>
      </c>
      <c r="B15">
        <v>90.234695755904198</v>
      </c>
      <c r="C15">
        <v>92.502752278718901</v>
      </c>
      <c r="D15">
        <v>90.081592963364002</v>
      </c>
      <c r="E15">
        <v>92.429767657344001</v>
      </c>
    </row>
    <row r="16" spans="1:13" x14ac:dyDescent="0.25">
      <c r="A16">
        <v>2003</v>
      </c>
      <c r="B16">
        <v>97.425504011087199</v>
      </c>
      <c r="C16">
        <v>98.517396678619605</v>
      </c>
      <c r="D16">
        <v>97.159466002221194</v>
      </c>
      <c r="E16">
        <v>97.746284461624299</v>
      </c>
    </row>
    <row r="17" spans="1:13" x14ac:dyDescent="0.25">
      <c r="A17">
        <v>2004</v>
      </c>
      <c r="B17">
        <v>100</v>
      </c>
      <c r="C17">
        <v>99.91</v>
      </c>
      <c r="D17">
        <v>99.86</v>
      </c>
      <c r="E17">
        <v>99.66</v>
      </c>
    </row>
    <row r="18" spans="1:13" x14ac:dyDescent="0.25">
      <c r="A18">
        <v>2005</v>
      </c>
      <c r="B18">
        <v>102.08</v>
      </c>
      <c r="C18">
        <v>101.06</v>
      </c>
      <c r="D18">
        <v>102.12</v>
      </c>
      <c r="E18">
        <v>102.42</v>
      </c>
      <c r="F18">
        <v>68.132750059676482</v>
      </c>
      <c r="G18">
        <v>71.238441870592126</v>
      </c>
      <c r="H18">
        <v>68.461639790470812</v>
      </c>
      <c r="I18">
        <v>69.212266495263023</v>
      </c>
      <c r="J18">
        <f>F18/B18</f>
        <v>0.66744465183852353</v>
      </c>
      <c r="K18">
        <f t="shared" ref="K18:M18" si="0">G18/C18</f>
        <v>0.70491234781903944</v>
      </c>
      <c r="L18">
        <f t="shared" si="0"/>
        <v>0.67040383656943603</v>
      </c>
      <c r="M18">
        <f>I18/E18</f>
        <v>0.67576905384947294</v>
      </c>
    </row>
    <row r="19" spans="1:13" x14ac:dyDescent="0.25">
      <c r="A19">
        <v>2006</v>
      </c>
      <c r="B19">
        <v>105.45</v>
      </c>
      <c r="C19">
        <v>103.49</v>
      </c>
      <c r="D19">
        <v>105.54</v>
      </c>
      <c r="E19">
        <v>105.23</v>
      </c>
      <c r="F19">
        <v>70.38027810478502</v>
      </c>
      <c r="G19">
        <v>72.950340593165777</v>
      </c>
      <c r="H19">
        <v>70.754834470848778</v>
      </c>
      <c r="I19">
        <v>71.11481662953237</v>
      </c>
      <c r="J19">
        <f t="shared" ref="J19:J27" si="1">F19/B19</f>
        <v>0.66742795737112393</v>
      </c>
      <c r="K19">
        <f t="shared" ref="K19:K27" si="2">G19/C19</f>
        <v>0.70490231513349866</v>
      </c>
      <c r="L19">
        <f t="shared" ref="L19:L27" si="3">H19/D19</f>
        <v>0.67040775507721029</v>
      </c>
      <c r="M19">
        <f t="shared" ref="M19:M27" si="4">I19/E19</f>
        <v>0.67580363612593719</v>
      </c>
    </row>
    <row r="20" spans="1:13" x14ac:dyDescent="0.25">
      <c r="A20">
        <v>2007</v>
      </c>
      <c r="B20">
        <v>107.847515121795</v>
      </c>
      <c r="C20">
        <v>105.25518110326099</v>
      </c>
      <c r="D20">
        <v>107.821157708059</v>
      </c>
      <c r="E20">
        <v>107.66898999517301</v>
      </c>
      <c r="F20">
        <v>71.982263283142728</v>
      </c>
      <c r="G20">
        <v>74.192927874786193</v>
      </c>
      <c r="H20">
        <v>72.284569507964036</v>
      </c>
      <c r="I20">
        <v>72.759933768100197</v>
      </c>
      <c r="J20">
        <f t="shared" si="1"/>
        <v>0.66744480113288929</v>
      </c>
      <c r="K20">
        <f t="shared" si="2"/>
        <v>0.70488623074999923</v>
      </c>
      <c r="L20">
        <f t="shared" si="3"/>
        <v>0.67041173592000103</v>
      </c>
      <c r="M20">
        <f t="shared" si="4"/>
        <v>0.67577427606000717</v>
      </c>
    </row>
    <row r="21" spans="1:13" x14ac:dyDescent="0.25">
      <c r="A21">
        <v>2008</v>
      </c>
      <c r="B21">
        <v>116.906826879439</v>
      </c>
      <c r="C21">
        <v>113.165808628769</v>
      </c>
      <c r="D21">
        <v>116.42764878813701</v>
      </c>
      <c r="E21">
        <v>116.11843739868</v>
      </c>
      <c r="F21">
        <v>78.028842458619863</v>
      </c>
      <c r="G21">
        <v>79.769020294108358</v>
      </c>
      <c r="H21">
        <v>78.054462133140461</v>
      </c>
      <c r="I21">
        <v>78.469852970311976</v>
      </c>
      <c r="J21">
        <f t="shared" si="1"/>
        <v>0.66744470397000566</v>
      </c>
      <c r="K21">
        <f t="shared" si="2"/>
        <v>0.70488623074999601</v>
      </c>
      <c r="L21">
        <f t="shared" si="3"/>
        <v>0.67041173592001246</v>
      </c>
      <c r="M21">
        <f t="shared" si="4"/>
        <v>0.67577427606000495</v>
      </c>
    </row>
    <row r="22" spans="1:13" x14ac:dyDescent="0.25">
      <c r="A22">
        <v>2009</v>
      </c>
      <c r="B22">
        <v>122.93918207738</v>
      </c>
      <c r="C22">
        <v>117.928229747675</v>
      </c>
      <c r="D22">
        <v>122.19920685827699</v>
      </c>
      <c r="E22">
        <v>122.173852913727</v>
      </c>
      <c r="F22">
        <v>82.055105987951393</v>
      </c>
      <c r="G22">
        <v>83.125985365859265</v>
      </c>
      <c r="H22">
        <v>81.923782397905541</v>
      </c>
      <c r="I22">
        <v>82.561947006234533</v>
      </c>
      <c r="J22">
        <f t="shared" si="1"/>
        <v>0.66744470397000466</v>
      </c>
      <c r="K22">
        <f t="shared" si="2"/>
        <v>0.70488623075000512</v>
      </c>
      <c r="L22">
        <f t="shared" si="3"/>
        <v>0.67041173592000725</v>
      </c>
      <c r="M22">
        <f t="shared" si="4"/>
        <v>0.67577427605999796</v>
      </c>
    </row>
    <row r="23" spans="1:13" x14ac:dyDescent="0.25">
      <c r="A23">
        <v>2010</v>
      </c>
      <c r="B23">
        <v>127.308904514102</v>
      </c>
      <c r="C23">
        <v>121.57083444895601</v>
      </c>
      <c r="D23">
        <v>126.54271340063499</v>
      </c>
      <c r="E23">
        <v>125.611729513676</v>
      </c>
      <c r="F23">
        <v>84.971654086159575</v>
      </c>
      <c r="G23">
        <v>85.693607263856734</v>
      </c>
      <c r="H23">
        <v>84.835720158946785</v>
      </c>
      <c r="I23">
        <v>84.885175576749958</v>
      </c>
      <c r="J23">
        <f t="shared" si="1"/>
        <v>0.66744470396999822</v>
      </c>
      <c r="K23">
        <f t="shared" si="2"/>
        <v>0.70488623074999901</v>
      </c>
      <c r="L23">
        <f t="shared" si="3"/>
        <v>0.67041173592000025</v>
      </c>
      <c r="M23">
        <f t="shared" si="4"/>
        <v>0.67577427606000817</v>
      </c>
    </row>
    <row r="24" spans="1:13" x14ac:dyDescent="0.25">
      <c r="A24">
        <v>2011</v>
      </c>
      <c r="B24">
        <v>133.005383023072</v>
      </c>
      <c r="C24">
        <v>127.34721132656099</v>
      </c>
      <c r="D24">
        <v>131.28671222955799</v>
      </c>
      <c r="E24">
        <v>131.16637167181</v>
      </c>
      <c r="F24">
        <v>88.773738498252229</v>
      </c>
      <c r="G24">
        <v>89.765295788504361</v>
      </c>
      <c r="H24">
        <v>88.016152649047697</v>
      </c>
      <c r="I24">
        <v>88.638859859934868</v>
      </c>
      <c r="J24">
        <f t="shared" si="1"/>
        <v>0.6674447039700111</v>
      </c>
      <c r="K24">
        <f t="shared" si="2"/>
        <v>0.70488623075000845</v>
      </c>
      <c r="L24">
        <f t="shared" si="3"/>
        <v>0.67041173592000181</v>
      </c>
      <c r="M24">
        <f t="shared" si="4"/>
        <v>0.6757742760600044</v>
      </c>
    </row>
    <row r="25" spans="1:13" x14ac:dyDescent="0.25">
      <c r="A25">
        <v>2012</v>
      </c>
      <c r="B25">
        <v>139.79094765668501</v>
      </c>
      <c r="C25">
        <v>132.813582514925</v>
      </c>
      <c r="D25">
        <v>138.51853070095001</v>
      </c>
      <c r="E25">
        <v>136.75627692137101</v>
      </c>
      <c r="F25">
        <v>93.302727676402995</v>
      </c>
      <c r="G25">
        <v>93.618465571350768</v>
      </c>
      <c r="H25">
        <v>92.86444862431226</v>
      </c>
      <c r="I25">
        <v>92.416374033201393</v>
      </c>
      <c r="J25">
        <f t="shared" si="1"/>
        <v>0.66744470397000788</v>
      </c>
      <c r="K25">
        <f t="shared" si="2"/>
        <v>0.70488623075000889</v>
      </c>
      <c r="L25">
        <f t="shared" si="3"/>
        <v>0.67041173592000392</v>
      </c>
      <c r="M25">
        <f t="shared" si="4"/>
        <v>0.6757742760600074</v>
      </c>
    </row>
    <row r="26" spans="1:13" x14ac:dyDescent="0.25">
      <c r="A26">
        <v>2013</v>
      </c>
      <c r="B26">
        <v>143.595743808588</v>
      </c>
      <c r="C26">
        <v>136.158915768263</v>
      </c>
      <c r="D26">
        <v>142.47185797500299</v>
      </c>
      <c r="E26">
        <v>141.29831065808301</v>
      </c>
      <c r="F26">
        <v>95.842218717676303</v>
      </c>
      <c r="G26">
        <v>95.976544918897289</v>
      </c>
      <c r="H26">
        <v>95.514805624769679</v>
      </c>
      <c r="I26">
        <v>95.485763593468377</v>
      </c>
      <c r="J26">
        <f t="shared" si="1"/>
        <v>0.66744470397000921</v>
      </c>
      <c r="K26">
        <f t="shared" si="2"/>
        <v>0.70488623074999734</v>
      </c>
      <c r="L26">
        <f t="shared" si="3"/>
        <v>0.67041173592000158</v>
      </c>
      <c r="M26">
        <f t="shared" si="4"/>
        <v>0.6757742760600095</v>
      </c>
    </row>
    <row r="27" spans="1:13" x14ac:dyDescent="0.25">
      <c r="A27">
        <v>2014</v>
      </c>
      <c r="B27">
        <v>148.749711203125</v>
      </c>
      <c r="C27">
        <v>141.21232132576901</v>
      </c>
      <c r="D27">
        <v>147.91776431902099</v>
      </c>
      <c r="E27">
        <v>146.55198495729499</v>
      </c>
      <c r="F27">
        <v>99.282206959592727</v>
      </c>
      <c r="G27">
        <v>99.538620914781617</v>
      </c>
      <c r="H27">
        <v>99.165805150520157</v>
      </c>
      <c r="I27">
        <v>99.036061539672588</v>
      </c>
      <c r="J27">
        <f>F27/B27</f>
        <v>0.66744470396999978</v>
      </c>
      <c r="K27">
        <f t="shared" si="2"/>
        <v>0.70488623075001744</v>
      </c>
      <c r="L27">
        <f t="shared" si="3"/>
        <v>0.67041173591999903</v>
      </c>
      <c r="M27">
        <f t="shared" si="4"/>
        <v>0.67577427606000384</v>
      </c>
    </row>
    <row r="28" spans="1:13" x14ac:dyDescent="0.25">
      <c r="A28">
        <v>2015</v>
      </c>
      <c r="F28">
        <v>103.22038088155142</v>
      </c>
      <c r="G28">
        <v>103.385430997722</v>
      </c>
      <c r="H28">
        <v>102.83804488355158</v>
      </c>
      <c r="I28">
        <v>103.23523890134724</v>
      </c>
    </row>
    <row r="29" spans="1:13" x14ac:dyDescent="0.25">
      <c r="A29">
        <v>2016</v>
      </c>
      <c r="F29">
        <v>105.00430221862838</v>
      </c>
      <c r="G29">
        <v>105.15814096494258</v>
      </c>
      <c r="H29">
        <v>104.63207555353682</v>
      </c>
      <c r="I29">
        <v>105.47546841385589</v>
      </c>
    </row>
    <row r="30" spans="1:13" x14ac:dyDescent="0.25">
      <c r="A30">
        <v>2017</v>
      </c>
      <c r="F30">
        <v>105.44229412483475</v>
      </c>
      <c r="G30">
        <v>105.89815081869828</v>
      </c>
      <c r="H30">
        <v>104.82116640217758</v>
      </c>
      <c r="I30">
        <v>106.24496254512735</v>
      </c>
    </row>
    <row r="31" spans="1:13" x14ac:dyDescent="0.25">
      <c r="A31">
        <v>2018</v>
      </c>
      <c r="F31">
        <v>105.20622242573268</v>
      </c>
      <c r="G31">
        <v>105.3160898637236</v>
      </c>
      <c r="H31">
        <v>105.27376423527176</v>
      </c>
      <c r="I31">
        <v>106.11212989308609</v>
      </c>
    </row>
    <row r="32" spans="1:13" x14ac:dyDescent="0.25">
      <c r="A32">
        <v>2019</v>
      </c>
      <c r="F32">
        <v>105.48608414443424</v>
      </c>
      <c r="G32">
        <v>105.79822713150058</v>
      </c>
      <c r="H32">
        <v>105.57248230744216</v>
      </c>
      <c r="I32">
        <v>106.65803701382283</v>
      </c>
    </row>
    <row r="33" spans="1:13" x14ac:dyDescent="0.25">
      <c r="A33">
        <v>2020</v>
      </c>
      <c r="F33">
        <v>105.12862092727376</v>
      </c>
      <c r="G33">
        <v>105.67746130688374</v>
      </c>
      <c r="H33">
        <v>104.84323507138858</v>
      </c>
      <c r="I33">
        <v>106.27971080729117</v>
      </c>
    </row>
    <row r="34" spans="1:13" x14ac:dyDescent="0.25">
      <c r="A34">
        <v>2021</v>
      </c>
      <c r="F34">
        <v>105.26870627184341</v>
      </c>
      <c r="G34">
        <v>105.91458233597218</v>
      </c>
      <c r="H34">
        <v>104.79947189328273</v>
      </c>
      <c r="I34">
        <v>107.02500933653117</v>
      </c>
    </row>
    <row r="35" spans="1:13" x14ac:dyDescent="0.25">
      <c r="A35">
        <v>2022</v>
      </c>
      <c r="F35">
        <v>108.91749829551692</v>
      </c>
      <c r="G35">
        <v>109.75486902070833</v>
      </c>
      <c r="H35">
        <v>108.49992030485551</v>
      </c>
      <c r="I35">
        <v>110.90928733129134</v>
      </c>
    </row>
    <row r="36" spans="1:13" x14ac:dyDescent="0.25">
      <c r="A36">
        <v>2023</v>
      </c>
      <c r="F36">
        <v>111.33044945760452</v>
      </c>
      <c r="G36">
        <v>112.59219143091569</v>
      </c>
      <c r="H36">
        <v>110.85841320271042</v>
      </c>
      <c r="I36">
        <v>113.05083372185067</v>
      </c>
    </row>
    <row r="37" spans="1:13" x14ac:dyDescent="0.25">
      <c r="A37">
        <v>2024</v>
      </c>
      <c r="F37">
        <v>113.05292582029942</v>
      </c>
      <c r="G37">
        <v>114.61719553758991</v>
      </c>
      <c r="H37">
        <v>112.42717286618377</v>
      </c>
      <c r="I37">
        <v>115.40816362174984</v>
      </c>
    </row>
    <row r="39" spans="1:13" x14ac:dyDescent="0.25">
      <c r="H39" s="7" t="s">
        <v>80</v>
      </c>
      <c r="I39" s="7"/>
      <c r="J39" s="5">
        <f>AVERAGE(J18:J27)</f>
        <v>0.66744303381325731</v>
      </c>
      <c r="K39" s="5">
        <f t="shared" ref="K39:M39" si="5">AVERAGE(K18:K27)</f>
        <v>0.70489045089525693</v>
      </c>
      <c r="L39" s="5">
        <f t="shared" si="5"/>
        <v>0.67041054790066745</v>
      </c>
      <c r="M39" s="5">
        <f t="shared" si="5"/>
        <v>0.67577668984554529</v>
      </c>
    </row>
    <row r="40" spans="1:13" x14ac:dyDescent="0.25">
      <c r="H40" s="7"/>
      <c r="I40" s="7"/>
    </row>
  </sheetData>
  <mergeCells count="4">
    <mergeCell ref="B1:E1"/>
    <mergeCell ref="F1:I1"/>
    <mergeCell ref="J1:M1"/>
    <mergeCell ref="H39:I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datos</vt:lpstr>
      <vt:lpstr>inec (2014) empalmada ipc</vt:lpstr>
      <vt:lpstr>tabla dinamica ipc</vt:lpstr>
      <vt:lpstr>banco central (2004) pond ipc</vt:lpstr>
      <vt:lpstr>banco central SBU</vt:lpstr>
      <vt:lpstr>chain linking empalme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Vasconez Oscar Eduardo</dc:creator>
  <cp:lastModifiedBy>Jaramillo Vasconez Oscar Eduardo</cp:lastModifiedBy>
  <dcterms:created xsi:type="dcterms:W3CDTF">2015-06-05T18:17:20Z</dcterms:created>
  <dcterms:modified xsi:type="dcterms:W3CDTF">2025-03-04T21:38:02Z</dcterms:modified>
</cp:coreProperties>
</file>